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xr:revisionPtr revIDLastSave="0" documentId="8_{52322A76-C4D1-4B45-8B84-A07441CD7795}" xr6:coauthVersionLast="47" xr6:coauthVersionMax="47" xr10:uidLastSave="{00000000-0000-0000-0000-000000000000}"/>
  <bookViews>
    <workbookView xWindow="-98" yWindow="-98" windowWidth="24496" windowHeight="16395" xr2:uid="{97BAFEFF-268F-45C9-BBA1-D4D2E1BF00DF}"/>
  </bookViews>
  <sheets>
    <sheet name="tva" sheetId="1" r:id="rId1"/>
  </sheets>
  <definedNames>
    <definedName name="augAPayer">""</definedName>
    <definedName name="Bq">""</definedName>
    <definedName name="Chq">""</definedName>
    <definedName name="dSign">""</definedName>
    <definedName name="mCrRep">""</definedName>
    <definedName name="mLivTVA">""</definedName>
    <definedName name="Mode">""</definedName>
    <definedName name="Motif">""</definedName>
    <definedName name="mTVAAch">""</definedName>
    <definedName name="mTVABrut">""</definedName>
    <definedName name="mTVACr">""</definedName>
    <definedName name="mTVADed">""</definedName>
    <definedName name="mTVAIm">""</definedName>
    <definedName name="mTVANet">""</definedName>
    <definedName name="mTVAReg">""</definedName>
    <definedName name="mVenExo">""</definedName>
    <definedName name="mVenExp">""</definedName>
    <definedName name="mVenExpExo">""</definedName>
    <definedName name="mVenTVA">""</definedName>
    <definedName name="PerDeclaration">""</definedName>
    <definedName name="soAdr">""</definedName>
    <definedName name="soAg1">""</definedName>
    <definedName name="soAg2">""</definedName>
    <definedName name="soIFU">""</definedName>
    <definedName name="soINSAE">""</definedName>
    <definedName name="soNom">""</definedName>
    <definedName name="soSigle">""</definedName>
    <definedName name="Ville">""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" l="1"/>
  <c r="K53" i="1"/>
  <c r="H49" i="1"/>
  <c r="L48" i="1"/>
  <c r="L47" i="1"/>
  <c r="H47" i="1"/>
  <c r="N44" i="1" s="1"/>
  <c r="L46" i="1"/>
  <c r="H43" i="1"/>
  <c r="E38" i="1"/>
  <c r="M37" i="1"/>
  <c r="M34" i="1"/>
  <c r="M32" i="1"/>
  <c r="M30" i="1"/>
  <c r="M28" i="1"/>
  <c r="N24" i="1"/>
  <c r="I24" i="1"/>
  <c r="N22" i="1"/>
  <c r="I22" i="1"/>
  <c r="N20" i="1"/>
  <c r="I20" i="1"/>
  <c r="G16" i="1"/>
  <c r="G15" i="1"/>
  <c r="G14" i="1"/>
  <c r="G13" i="1"/>
  <c r="G12" i="1"/>
  <c r="L10" i="1"/>
  <c r="F10" i="1"/>
  <c r="F7" i="1"/>
  <c r="M40" i="1" l="1"/>
  <c r="H45" i="1" s="1"/>
</calcChain>
</file>

<file path=xl/sharedStrings.xml><?xml version="1.0" encoding="utf-8"?>
<sst xmlns="http://schemas.openxmlformats.org/spreadsheetml/2006/main" count="72" uniqueCount="72">
  <si>
    <t>REPUBLIQUE DU BENIN</t>
  </si>
  <si>
    <t>DIRECTION DES IMPOTS</t>
  </si>
  <si>
    <t>Timbre à date</t>
  </si>
  <si>
    <t>MINISTERE DES FINANCES</t>
  </si>
  <si>
    <t>TAXE A LA VALEUR AJOUTEE</t>
  </si>
  <si>
    <t>Régime du chiffre d'affaires réel</t>
  </si>
  <si>
    <t>(A souscrire avant le 10 du mois suivant)</t>
  </si>
  <si>
    <t>I- IDENTIFICATION</t>
  </si>
  <si>
    <t>N° INSAE:</t>
  </si>
  <si>
    <t>N° IFU:</t>
  </si>
  <si>
    <t xml:space="preserve">-Nom et Prénoms ou Raison sociale : </t>
  </si>
  <si>
    <t>-Autre dénomination/Enseigne commerciale :</t>
  </si>
  <si>
    <t>-Adresse</t>
  </si>
  <si>
    <t>-Siège :</t>
  </si>
  <si>
    <t>-Ets secondaires:</t>
  </si>
  <si>
    <t>II- CHIFFRE D'AFFAIRES HORS TVA</t>
  </si>
  <si>
    <t>Montant hors TVA</t>
  </si>
  <si>
    <t>-Opérations exonérées (sauf exportations)</t>
  </si>
  <si>
    <t>01</t>
  </si>
  <si>
    <t>Opérations taxables (CA Total hors TVA)</t>
  </si>
  <si>
    <t>04</t>
  </si>
  <si>
    <t>-Exportations de produits taxables au Bénin</t>
  </si>
  <si>
    <t>02</t>
  </si>
  <si>
    <t>(lignes 01+02+03+04)</t>
  </si>
  <si>
    <t>05</t>
  </si>
  <si>
    <t>-Exportations de produits non taxables au Bénin</t>
  </si>
  <si>
    <t>03</t>
  </si>
  <si>
    <t>Livraisons à soi-même</t>
  </si>
  <si>
    <t>06</t>
  </si>
  <si>
    <t>III- DEDUCTIONS</t>
  </si>
  <si>
    <t>TVA Déductible</t>
  </si>
  <si>
    <t>- Crédit reporté du mois précédent( sous déduction du remboursement demandé)</t>
  </si>
  <si>
    <t>éventuellement par les exportateurs)</t>
  </si>
  <si>
    <t>07</t>
  </si>
  <si>
    <t>- Déduction sur biens ne constituant pas les immobilistaions et sur Services</t>
  </si>
  <si>
    <t>("Déductions physiques" - report de la ligne 17)</t>
  </si>
  <si>
    <t>08</t>
  </si>
  <si>
    <t>- Déduction sur biens constituant des immobilisations</t>
  </si>
  <si>
    <t>("Déductions sur investissements"- report de la ligne 18)</t>
  </si>
  <si>
    <t>09</t>
  </si>
  <si>
    <t>- Complément de déduction demandé en joignant obligatoirement les justificatifs (en +)</t>
  </si>
  <si>
    <t>10</t>
  </si>
  <si>
    <t>-Régularisations :</t>
  </si>
  <si>
    <t>-reversement à effectuer en précisant le motif (en -)</t>
  </si>
  <si>
    <t>11</t>
  </si>
  <si>
    <t>TOTAL</t>
  </si>
  <si>
    <t>12</t>
  </si>
  <si>
    <t>IV- TVA NETTE</t>
  </si>
  <si>
    <t>V- PAIEMENT</t>
  </si>
  <si>
    <t xml:space="preserve"> (obligatoire joint à la déclaration)</t>
  </si>
  <si>
    <t>13</t>
  </si>
  <si>
    <t xml:space="preserve">Montant du versement : </t>
  </si>
  <si>
    <t>-TVA Déductible (ligne12)</t>
  </si>
  <si>
    <t>14</t>
  </si>
  <si>
    <t xml:space="preserve">Mode: </t>
  </si>
  <si>
    <t>-TVA Nette à payer (ligne 13 - 14)</t>
  </si>
  <si>
    <t>15</t>
  </si>
  <si>
    <t>Banque</t>
  </si>
  <si>
    <t>Chèque</t>
  </si>
  <si>
    <t>-CREDIT à reporter (ligne 14 -13)</t>
  </si>
  <si>
    <t>16</t>
  </si>
  <si>
    <t>CADRE RESERVE A L'ADMINISTRATION</t>
  </si>
  <si>
    <t>LE DECLARANT</t>
  </si>
  <si>
    <t>- N° de Quittance</t>
  </si>
  <si>
    <t>- PENALITES</t>
  </si>
  <si>
    <t>Motif:</t>
  </si>
  <si>
    <t xml:space="preserve">A </t>
  </si>
  <si>
    <t>le</t>
  </si>
  <si>
    <t>Montant payé</t>
  </si>
  <si>
    <t>:</t>
  </si>
  <si>
    <t>Signature et Cachet</t>
  </si>
  <si>
    <t>-TVA Brute (compte 443)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</si>
</sst>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"/>
    <numFmt numFmtId="165" formatCode="d\ mmmm\ yyyy"/>
  </numFmts>
  <fonts count="8" x14ac:knownFonts="1">
    <font>
      <sz val="10"/>
      <name val="Arial"/>
    </font>
    <font>
      <sz val="12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1" fillId="0" borderId="0" xfId="1" applyAlignment="1" applyProtection="1">
      <alignment vertical="center"/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0" borderId="2" xfId="1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 applyProtection="1">
      <alignment horizontal="center" vertical="center"/>
      <protection locked="0"/>
    </xf>
    <xf numFmtId="0" fontId="4" fillId="0" borderId="4" xfId="1" applyFont="1" applyBorder="1" applyAlignment="1" applyProtection="1">
      <alignment vertical="center"/>
      <protection locked="0"/>
    </xf>
    <xf numFmtId="0" fontId="1" fillId="0" borderId="5" xfId="1" applyBorder="1" applyAlignment="1" applyProtection="1">
      <alignment vertical="center"/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4" fillId="0" borderId="6" xfId="1" applyFont="1" applyBorder="1" applyAlignment="1" applyProtection="1">
      <alignment vertical="center"/>
      <protection locked="0"/>
    </xf>
    <xf numFmtId="0" fontId="4" fillId="0" borderId="7" xfId="1" applyFont="1" applyBorder="1" applyAlignment="1" applyProtection="1">
      <alignment vertical="center"/>
      <protection locked="0"/>
    </xf>
    <xf numFmtId="0" fontId="1" fillId="0" borderId="8" xfId="1" applyBorder="1" applyAlignment="1" applyProtection="1">
      <alignment vertical="center"/>
      <protection locked="0"/>
    </xf>
    <xf numFmtId="0" fontId="5" fillId="0" borderId="1" xfId="1" applyFont="1" applyBorder="1" applyAlignment="1" applyProtection="1">
      <alignment vertical="center"/>
      <protection locked="0"/>
    </xf>
    <xf numFmtId="0" fontId="3" fillId="0" borderId="2" xfId="1" applyFont="1" applyBorder="1" applyAlignment="1" applyProtection="1">
      <alignment vertical="center"/>
      <protection locked="0"/>
    </xf>
    <xf numFmtId="0" fontId="4" fillId="0" borderId="2" xfId="1" applyFont="1" applyBorder="1" applyAlignment="1" applyProtection="1">
      <alignment vertical="center"/>
      <protection locked="0"/>
    </xf>
    <xf numFmtId="0" fontId="2" fillId="0" borderId="2" xfId="1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4" fillId="0" borderId="4" xfId="1" quotePrefix="1" applyFont="1" applyBorder="1" applyAlignment="1" applyProtection="1">
      <alignment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0" xfId="1" quotePrefix="1" applyFont="1" applyAlignment="1" applyProtection="1">
      <alignment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7" xfId="1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4" fillId="0" borderId="9" xfId="1" applyFont="1" applyBorder="1" applyAlignment="1" applyProtection="1">
      <alignment vertical="center"/>
      <protection locked="0"/>
    </xf>
    <xf numFmtId="0" fontId="3" fillId="0" borderId="9" xfId="1" applyFont="1" applyBorder="1" applyAlignment="1" applyProtection="1">
      <alignment vertical="center"/>
      <protection locked="0"/>
    </xf>
    <xf numFmtId="0" fontId="1" fillId="0" borderId="9" xfId="1" applyBorder="1" applyAlignment="1" applyProtection="1">
      <alignment vertical="center"/>
      <protection locked="0"/>
    </xf>
    <xf numFmtId="0" fontId="4" fillId="0" borderId="10" xfId="1" applyFont="1" applyBorder="1" applyAlignment="1" applyProtection="1">
      <alignment vertical="center"/>
      <protection locked="0"/>
    </xf>
    <xf numFmtId="0" fontId="4" fillId="0" borderId="3" xfId="1" applyFont="1" applyBorder="1" applyAlignment="1" applyProtection="1">
      <alignment vertical="center"/>
      <protection locked="0"/>
    </xf>
    <xf numFmtId="0" fontId="4" fillId="0" borderId="11" xfId="1" applyFont="1" applyBorder="1" applyAlignment="1" applyProtection="1">
      <alignment vertical="center"/>
      <protection locked="0"/>
    </xf>
    <xf numFmtId="0" fontId="4" fillId="0" borderId="4" xfId="1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/>
    </xf>
    <xf numFmtId="0" fontId="4" fillId="0" borderId="0" xfId="1" applyFont="1" applyAlignment="1" applyProtection="1">
      <alignment vertical="center" shrinkToFit="1"/>
      <protection locked="0"/>
    </xf>
    <xf numFmtId="0" fontId="4" fillId="0" borderId="5" xfId="1" applyFont="1" applyBorder="1" applyAlignment="1" applyProtection="1">
      <alignment vertical="center"/>
      <protection locked="0"/>
    </xf>
    <xf numFmtId="0" fontId="4" fillId="0" borderId="11" xfId="1" quotePrefix="1" applyFont="1" applyBorder="1" applyAlignment="1" applyProtection="1">
      <alignment horizontal="center" vertical="center"/>
      <protection locked="0"/>
    </xf>
    <xf numFmtId="3" fontId="2" fillId="0" borderId="4" xfId="1" applyNumberFormat="1" applyFont="1" applyBorder="1" applyAlignment="1" applyProtection="1">
      <alignment horizontal="right" vertical="center"/>
      <protection locked="0"/>
    </xf>
    <xf numFmtId="0" fontId="2" fillId="0" borderId="5" xfId="0" applyFont="1" applyBorder="1" applyAlignment="1">
      <alignment horizontal="right" vertical="center"/>
    </xf>
    <xf numFmtId="0" fontId="4" fillId="0" borderId="4" xfId="1" applyFont="1" applyBorder="1" applyAlignment="1" applyProtection="1">
      <alignment vertical="center" wrapText="1"/>
      <protection locked="0"/>
    </xf>
    <xf numFmtId="0" fontId="4" fillId="0" borderId="5" xfId="1" applyFont="1" applyBorder="1" applyAlignment="1" applyProtection="1">
      <alignment vertical="center" wrapText="1"/>
      <protection locked="0"/>
    </xf>
    <xf numFmtId="3" fontId="2" fillId="0" borderId="0" xfId="0" applyNumberFormat="1" applyFont="1" applyAlignment="1">
      <alignment horizontal="right" vertical="center"/>
    </xf>
    <xf numFmtId="3" fontId="2" fillId="0" borderId="5" xfId="0" applyNumberFormat="1" applyFont="1" applyBorder="1" applyAlignment="1">
      <alignment horizontal="right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6" xfId="1" quotePrefix="1" applyFont="1" applyBorder="1" applyAlignment="1" applyProtection="1">
      <alignment vertical="center"/>
      <protection locked="0"/>
    </xf>
    <xf numFmtId="0" fontId="4" fillId="0" borderId="12" xfId="1" quotePrefix="1" applyFont="1" applyBorder="1" applyAlignment="1" applyProtection="1">
      <alignment horizontal="center" vertical="center"/>
      <protection locked="0"/>
    </xf>
    <xf numFmtId="3" fontId="2" fillId="0" borderId="6" xfId="1" applyNumberFormat="1" applyFont="1" applyBorder="1" applyAlignment="1" applyProtection="1">
      <alignment horizontal="right" vertical="center"/>
      <protection locked="0"/>
    </xf>
    <xf numFmtId="0" fontId="2" fillId="0" borderId="8" xfId="0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0" fontId="4" fillId="0" borderId="9" xfId="1" quotePrefix="1" applyFont="1" applyBorder="1" applyAlignment="1" applyProtection="1">
      <alignment vertical="center"/>
      <protection locked="0"/>
    </xf>
    <xf numFmtId="0" fontId="4" fillId="0" borderId="1" xfId="1" applyFont="1" applyBorder="1" applyAlignment="1" applyProtection="1">
      <alignment vertical="center"/>
      <protection locked="0"/>
    </xf>
    <xf numFmtId="0" fontId="4" fillId="0" borderId="0" xfId="1" quotePrefix="1" applyFont="1" applyAlignment="1" applyProtection="1">
      <alignment vertical="center" wrapText="1"/>
      <protection locked="0"/>
    </xf>
    <xf numFmtId="0" fontId="1" fillId="0" borderId="0" xfId="1" applyAlignment="1" applyProtection="1">
      <alignment vertical="center" wrapText="1"/>
      <protection locked="0"/>
    </xf>
    <xf numFmtId="0" fontId="1" fillId="0" borderId="0" xfId="1" applyAlignment="1" applyProtection="1">
      <alignment vertical="center" wrapText="1"/>
      <protection locked="0"/>
    </xf>
    <xf numFmtId="0" fontId="4" fillId="0" borderId="0" xfId="1" quotePrefix="1" applyFont="1" applyAlignment="1" applyProtection="1">
      <alignment vertical="center" wrapText="1"/>
      <protection locked="0"/>
    </xf>
    <xf numFmtId="3" fontId="2" fillId="0" borderId="0" xfId="0" applyNumberFormat="1" applyFont="1" applyAlignment="1">
      <alignment vertical="center"/>
    </xf>
    <xf numFmtId="3" fontId="2" fillId="0" borderId="5" xfId="0" applyNumberFormat="1" applyFont="1" applyBorder="1" applyAlignment="1">
      <alignment vertical="center"/>
    </xf>
    <xf numFmtId="0" fontId="4" fillId="0" borderId="0" xfId="1" applyFont="1" applyAlignment="1" applyProtection="1">
      <alignment horizontal="left" vertical="center"/>
      <protection locked="0"/>
    </xf>
    <xf numFmtId="0" fontId="4" fillId="0" borderId="5" xfId="1" applyFont="1" applyBorder="1" applyAlignment="1" applyProtection="1">
      <alignment horizontal="left" vertical="center"/>
      <protection locked="0"/>
    </xf>
    <xf numFmtId="0" fontId="5" fillId="0" borderId="2" xfId="1" applyFont="1" applyBorder="1" applyAlignment="1" applyProtection="1">
      <alignment vertical="center"/>
      <protection locked="0"/>
    </xf>
    <xf numFmtId="0" fontId="1" fillId="0" borderId="4" xfId="1" quotePrefix="1" applyBorder="1" applyAlignment="1" applyProtection="1">
      <alignment vertical="center"/>
      <protection locked="0"/>
    </xf>
    <xf numFmtId="0" fontId="1" fillId="0" borderId="11" xfId="1" quotePrefix="1" applyBorder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right" vertical="center"/>
      <protection locked="0"/>
    </xf>
    <xf numFmtId="0" fontId="1" fillId="0" borderId="4" xfId="1" applyBorder="1" applyAlignment="1" applyProtection="1">
      <alignment vertical="center"/>
      <protection locked="0"/>
    </xf>
    <xf numFmtId="0" fontId="1" fillId="0" borderId="11" xfId="1" applyBorder="1" applyAlignment="1" applyProtection="1">
      <alignment vertical="center"/>
      <protection locked="0"/>
    </xf>
    <xf numFmtId="3" fontId="2" fillId="0" borderId="0" xfId="1" applyNumberFormat="1" applyFont="1" applyAlignment="1" applyProtection="1">
      <alignment horizontal="right" vertical="center"/>
      <protection locked="0"/>
    </xf>
    <xf numFmtId="0" fontId="3" fillId="0" borderId="0" xfId="1" applyFont="1" applyAlignment="1" applyProtection="1">
      <alignment horizontal="left" vertical="center"/>
      <protection locked="0"/>
    </xf>
    <xf numFmtId="0" fontId="3" fillId="0" borderId="0" xfId="0" applyFont="1" applyAlignment="1">
      <alignment horizontal="left" vertical="center"/>
    </xf>
    <xf numFmtId="164" fontId="2" fillId="0" borderId="4" xfId="1" applyNumberFormat="1" applyFont="1" applyBorder="1" applyAlignment="1" applyProtection="1">
      <alignment horizontal="right" vertical="center"/>
      <protection locked="0"/>
    </xf>
    <xf numFmtId="164" fontId="2" fillId="0" borderId="5" xfId="1" applyNumberFormat="1" applyFont="1" applyBorder="1" applyAlignment="1" applyProtection="1">
      <alignment horizontal="right" vertical="center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3" fillId="0" borderId="5" xfId="0" applyFont="1" applyBorder="1" applyAlignment="1">
      <alignment horizontal="left" vertical="center"/>
    </xf>
    <xf numFmtId="0" fontId="1" fillId="0" borderId="9" xfId="1" quotePrefix="1" applyBorder="1" applyAlignment="1" applyProtection="1">
      <alignment vertical="center"/>
      <protection locked="0"/>
    </xf>
    <xf numFmtId="0" fontId="1" fillId="0" borderId="9" xfId="1" quotePrefix="1" applyBorder="1" applyAlignment="1" applyProtection="1">
      <alignment horizontal="center" vertical="center"/>
      <protection locked="0"/>
    </xf>
    <xf numFmtId="0" fontId="3" fillId="0" borderId="9" xfId="1" applyFont="1" applyBorder="1" applyAlignment="1" applyProtection="1">
      <alignment horizontal="right" vertical="center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0" fontId="1" fillId="0" borderId="0" xfId="1" applyAlignment="1" applyProtection="1">
      <alignment horizontal="center" vertical="center"/>
      <protection locked="0"/>
    </xf>
    <xf numFmtId="0" fontId="1" fillId="0" borderId="5" xfId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horizontal="left" vertical="center"/>
      <protection locked="0"/>
    </xf>
    <xf numFmtId="165" fontId="3" fillId="0" borderId="0" xfId="1" applyNumberFormat="1" applyFont="1" applyAlignment="1" applyProtection="1">
      <alignment horizontal="left" vertical="center"/>
      <protection locked="0"/>
    </xf>
    <xf numFmtId="165" fontId="3" fillId="0" borderId="0" xfId="0" applyNumberFormat="1" applyFont="1" applyAlignment="1">
      <alignment horizontal="left" vertical="center"/>
    </xf>
    <xf numFmtId="165" fontId="3" fillId="0" borderId="5" xfId="0" applyNumberFormat="1" applyFont="1" applyBorder="1" applyAlignment="1">
      <alignment horizontal="left" vertical="center"/>
    </xf>
    <xf numFmtId="0" fontId="1" fillId="0" borderId="6" xfId="1" applyBorder="1" applyAlignment="1" applyProtection="1">
      <alignment vertical="center"/>
      <protection locked="0"/>
    </xf>
    <xf numFmtId="0" fontId="1" fillId="0" borderId="7" xfId="1" applyBorder="1" applyAlignment="1" applyProtection="1">
      <alignment vertical="center"/>
      <protection locked="0"/>
    </xf>
  </cellXfs>
  <cellStyles count="2">
    <cellStyle name="Normal" xfId="0" builtinId="0"/>
    <cellStyle name="Normal_tva" xfId="1" xr:uid="{7F080E21-32F6-4985-BDAB-B7AF254F11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496B-DBB3-4A6E-A09D-5B4B5FF29287}">
  <sheetPr>
    <pageSetUpPr fitToPage="1"/>
  </sheetPr>
  <dimension ref="A1:Q57"/>
  <sheetViews>
    <sheetView showRowColHeaders="0" showZeros="0" tabSelected="1" zoomScale="90" zoomScaleNormal="90" workbookViewId="0">
      <selection activeCell="A27" sqref="A27"/>
    </sheetView>
  </sheetViews>
  <sheetFormatPr baseColWidth="10" defaultColWidth="14.86328125" defaultRowHeight="15" x14ac:dyDescent="0.35"/>
  <cols>
    <col min="1" max="2" width="6.73046875" style="4" customWidth="1"/>
    <col min="3" max="3" width="7.1328125" style="4" customWidth="1"/>
    <col min="4" max="4" width="9.3984375" style="4" customWidth="1"/>
    <col min="5" max="5" width="4.86328125" style="4" customWidth="1"/>
    <col min="6" max="6" width="5.3984375" style="4" customWidth="1"/>
    <col min="7" max="7" width="3.59765625" style="4" customWidth="1"/>
    <col min="8" max="8" width="3" style="4" customWidth="1"/>
    <col min="9" max="9" width="15.86328125" style="4" customWidth="1"/>
    <col min="10" max="10" width="2.59765625" style="4" customWidth="1"/>
    <col min="11" max="11" width="16.265625" style="4" customWidth="1"/>
    <col min="12" max="12" width="3.59765625" style="4" customWidth="1"/>
    <col min="13" max="13" width="3.1328125" style="4" customWidth="1"/>
    <col min="14" max="14" width="9.3984375" style="4" customWidth="1"/>
    <col min="15" max="15" width="2.86328125" style="4" customWidth="1"/>
    <col min="16" max="16384" width="14.86328125" style="4"/>
  </cols>
  <sheetData>
    <row r="1" spans="1:16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</row>
    <row r="2" spans="1:16" x14ac:dyDescent="0.35">
      <c r="A2" s="2"/>
      <c r="B2" s="2"/>
      <c r="C2" s="2"/>
      <c r="D2" s="2"/>
      <c r="E2" s="2"/>
      <c r="F2" s="2"/>
      <c r="G2" s="5" t="s">
        <v>1</v>
      </c>
      <c r="H2" s="6"/>
      <c r="I2" s="6"/>
      <c r="J2" s="6"/>
      <c r="K2" s="6"/>
      <c r="L2" s="2"/>
      <c r="M2" s="3"/>
      <c r="N2" s="7" t="s">
        <v>2</v>
      </c>
      <c r="O2" s="8"/>
      <c r="P2" s="9"/>
    </row>
    <row r="3" spans="1:16" x14ac:dyDescent="0.35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10"/>
      <c r="O3" s="3"/>
      <c r="P3" s="11"/>
    </row>
    <row r="4" spans="1:16" x14ac:dyDescent="0.35">
      <c r="A4" s="2"/>
      <c r="B4" s="2"/>
      <c r="C4" s="2"/>
      <c r="D4" s="2"/>
      <c r="E4" s="2"/>
      <c r="F4" s="2"/>
      <c r="G4" s="5" t="s">
        <v>4</v>
      </c>
      <c r="H4" s="6"/>
      <c r="I4" s="6"/>
      <c r="J4" s="6"/>
      <c r="K4" s="6"/>
      <c r="L4" s="2"/>
      <c r="M4" s="3"/>
      <c r="N4" s="10"/>
      <c r="O4" s="3"/>
      <c r="P4" s="11"/>
    </row>
    <row r="5" spans="1:16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0"/>
      <c r="O5" s="3"/>
      <c r="P5" s="11"/>
    </row>
    <row r="6" spans="1:16" x14ac:dyDescent="0.35">
      <c r="A6" s="3"/>
      <c r="B6" s="3"/>
      <c r="C6" s="3"/>
      <c r="D6" s="3"/>
      <c r="E6" s="3"/>
      <c r="F6" s="3"/>
      <c r="G6" s="12" t="s">
        <v>5</v>
      </c>
      <c r="H6" s="12"/>
      <c r="I6" s="12"/>
      <c r="J6" s="12"/>
      <c r="K6" s="12"/>
      <c r="L6" s="3"/>
      <c r="M6" s="3"/>
      <c r="N6" s="10"/>
      <c r="O6" s="3"/>
      <c r="P6" s="11"/>
    </row>
    <row r="7" spans="1:16" x14ac:dyDescent="0.35">
      <c r="A7" s="3"/>
      <c r="B7" s="3"/>
      <c r="C7" s="3"/>
      <c r="D7" s="3"/>
      <c r="E7" s="3"/>
      <c r="F7" s="12" t="str">
        <f xml:space="preserve"> PerDeclaration</f>
        <v/>
      </c>
      <c r="G7" s="6"/>
      <c r="H7" s="6"/>
      <c r="I7" s="6"/>
      <c r="J7" s="6"/>
      <c r="K7" s="6"/>
      <c r="L7" s="13"/>
      <c r="M7" s="3"/>
      <c r="N7" s="10"/>
      <c r="O7" s="3"/>
      <c r="P7" s="11"/>
    </row>
    <row r="8" spans="1:16" x14ac:dyDescent="0.35">
      <c r="A8" s="3"/>
      <c r="B8" s="3"/>
      <c r="C8" s="3"/>
      <c r="D8" s="3"/>
      <c r="E8" s="3"/>
      <c r="G8" s="12" t="s">
        <v>6</v>
      </c>
      <c r="H8" s="12"/>
      <c r="I8" s="12"/>
      <c r="J8" s="12"/>
      <c r="K8" s="12"/>
      <c r="L8" s="3"/>
      <c r="M8" s="3"/>
      <c r="N8" s="14"/>
      <c r="O8" s="15"/>
      <c r="P8" s="16"/>
    </row>
    <row r="9" spans="1:16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6" x14ac:dyDescent="0.35">
      <c r="A10" s="17" t="s">
        <v>7</v>
      </c>
      <c r="B10" s="18"/>
      <c r="C10" s="18"/>
      <c r="D10" s="19" t="s">
        <v>8</v>
      </c>
      <c r="E10" s="19"/>
      <c r="F10" s="20" t="str">
        <f xml:space="preserve"> soINSAE</f>
        <v/>
      </c>
      <c r="G10" s="21"/>
      <c r="H10" s="21"/>
      <c r="I10" s="21"/>
      <c r="J10" s="22"/>
      <c r="K10" s="22" t="s">
        <v>9</v>
      </c>
      <c r="L10" s="21" t="str">
        <f xml:space="preserve"> soIFU</f>
        <v/>
      </c>
      <c r="M10" s="21"/>
      <c r="N10" s="21"/>
      <c r="O10" s="21"/>
      <c r="P10" s="23"/>
    </row>
    <row r="11" spans="1:16" x14ac:dyDescent="0.35">
      <c r="A11" s="10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1"/>
    </row>
    <row r="12" spans="1:16" x14ac:dyDescent="0.35">
      <c r="A12" s="24" t="s">
        <v>10</v>
      </c>
      <c r="B12" s="3"/>
      <c r="C12" s="3"/>
      <c r="D12" s="3"/>
      <c r="E12" s="3"/>
      <c r="F12" s="2"/>
      <c r="G12" s="25" t="str">
        <f xml:space="preserve"> soNom</f>
        <v/>
      </c>
      <c r="H12" s="26"/>
      <c r="I12" s="26"/>
      <c r="J12" s="26"/>
      <c r="K12" s="26"/>
      <c r="L12" s="26"/>
      <c r="M12" s="26"/>
      <c r="N12" s="26"/>
      <c r="O12" s="26"/>
      <c r="P12" s="27"/>
    </row>
    <row r="13" spans="1:16" x14ac:dyDescent="0.35">
      <c r="A13" s="24" t="s">
        <v>11</v>
      </c>
      <c r="B13" s="3"/>
      <c r="C13" s="3"/>
      <c r="D13" s="3"/>
      <c r="E13" s="3"/>
      <c r="F13" s="3"/>
      <c r="G13" s="25" t="str">
        <f xml:space="preserve"> soSigle</f>
        <v/>
      </c>
      <c r="H13" s="26"/>
      <c r="I13" s="26"/>
      <c r="J13" s="26"/>
      <c r="K13" s="26"/>
      <c r="L13" s="26"/>
      <c r="M13" s="26"/>
      <c r="N13" s="26"/>
      <c r="O13" s="26"/>
      <c r="P13" s="27"/>
    </row>
    <row r="14" spans="1:16" x14ac:dyDescent="0.35">
      <c r="A14" s="24" t="s">
        <v>12</v>
      </c>
      <c r="B14" s="3"/>
      <c r="C14" s="28" t="s">
        <v>13</v>
      </c>
      <c r="D14" s="3"/>
      <c r="E14" s="3"/>
      <c r="F14" s="29"/>
      <c r="G14" s="26" t="str">
        <f>soAdr</f>
        <v/>
      </c>
      <c r="H14" s="30"/>
      <c r="I14" s="30"/>
      <c r="J14" s="30"/>
      <c r="K14" s="30"/>
      <c r="L14" s="30"/>
      <c r="M14" s="30"/>
      <c r="N14" s="30"/>
      <c r="O14" s="30"/>
      <c r="P14" s="31"/>
    </row>
    <row r="15" spans="1:16" x14ac:dyDescent="0.35">
      <c r="A15" s="10"/>
      <c r="B15" s="3"/>
      <c r="C15" s="28" t="s">
        <v>14</v>
      </c>
      <c r="D15" s="3"/>
      <c r="E15" s="3"/>
      <c r="F15" s="29"/>
      <c r="G15" s="26" t="str">
        <f>soAg1</f>
        <v/>
      </c>
      <c r="H15" s="30"/>
      <c r="I15" s="30"/>
      <c r="J15" s="30"/>
      <c r="K15" s="30"/>
      <c r="L15" s="30"/>
      <c r="M15" s="30"/>
      <c r="N15" s="30"/>
      <c r="O15" s="30"/>
      <c r="P15" s="31"/>
    </row>
    <row r="16" spans="1:16" x14ac:dyDescent="0.35">
      <c r="A16" s="10"/>
      <c r="B16" s="3"/>
      <c r="C16" s="28"/>
      <c r="D16" s="3"/>
      <c r="E16" s="3"/>
      <c r="F16" s="32"/>
      <c r="G16" s="33" t="str">
        <f>soAg2</f>
        <v/>
      </c>
      <c r="H16" s="34"/>
      <c r="I16" s="34"/>
      <c r="J16" s="34"/>
      <c r="K16" s="34"/>
      <c r="L16" s="34"/>
      <c r="M16" s="34"/>
      <c r="N16" s="34"/>
      <c r="O16" s="34"/>
      <c r="P16" s="35"/>
    </row>
    <row r="17" spans="1:17" ht="9" customHeight="1" x14ac:dyDescent="0.35">
      <c r="A17" s="36"/>
      <c r="B17" s="36"/>
      <c r="C17" s="36"/>
      <c r="D17" s="36"/>
      <c r="E17" s="36"/>
      <c r="F17" s="37"/>
      <c r="G17" s="36"/>
      <c r="H17" s="36"/>
      <c r="I17" s="36"/>
      <c r="J17" s="36"/>
      <c r="K17" s="36"/>
      <c r="L17" s="36"/>
      <c r="M17" s="36"/>
      <c r="N17" s="36"/>
      <c r="O17" s="36"/>
      <c r="P17" s="38"/>
    </row>
    <row r="18" spans="1:17" x14ac:dyDescent="0.35">
      <c r="A18" s="17" t="s">
        <v>15</v>
      </c>
      <c r="B18" s="18"/>
      <c r="C18" s="18"/>
      <c r="D18" s="18"/>
      <c r="E18" s="18"/>
      <c r="F18" s="19"/>
      <c r="G18" s="19"/>
      <c r="H18" s="39"/>
      <c r="I18" s="19"/>
      <c r="J18" s="40"/>
      <c r="K18" s="19"/>
      <c r="L18" s="19"/>
      <c r="M18" s="39"/>
      <c r="N18" s="19"/>
      <c r="O18" s="19"/>
      <c r="P18" s="40"/>
      <c r="Q18" s="3"/>
    </row>
    <row r="19" spans="1:17" ht="18.75" customHeight="1" x14ac:dyDescent="0.35">
      <c r="A19" s="10"/>
      <c r="B19" s="3"/>
      <c r="C19" s="3"/>
      <c r="D19" s="3"/>
      <c r="E19" s="3"/>
      <c r="F19" s="3"/>
      <c r="G19" s="3"/>
      <c r="H19" s="41"/>
      <c r="I19" s="42" t="s">
        <v>16</v>
      </c>
      <c r="J19" s="43"/>
      <c r="K19" s="44"/>
      <c r="L19" s="44"/>
      <c r="M19" s="41"/>
      <c r="N19" s="3"/>
      <c r="O19" s="3"/>
      <c r="P19" s="45"/>
      <c r="Q19" s="3"/>
    </row>
    <row r="20" spans="1:17" x14ac:dyDescent="0.35">
      <c r="A20" s="24" t="s">
        <v>17</v>
      </c>
      <c r="B20" s="3"/>
      <c r="C20" s="3"/>
      <c r="D20" s="3"/>
      <c r="E20" s="3"/>
      <c r="F20" s="3"/>
      <c r="G20" s="3"/>
      <c r="H20" s="46" t="s">
        <v>18</v>
      </c>
      <c r="I20" s="47">
        <f xml:space="preserve"> mVenExo</f>
        <v/>
      </c>
      <c r="J20" s="48"/>
      <c r="K20" s="49" t="s">
        <v>19</v>
      </c>
      <c r="L20" s="50"/>
      <c r="M20" s="46" t="s">
        <v>20</v>
      </c>
      <c r="N20" s="47">
        <f xml:space="preserve"> mVenTVA</f>
        <v/>
      </c>
      <c r="O20" s="51"/>
      <c r="P20" s="52"/>
      <c r="Q20" s="3"/>
    </row>
    <row r="21" spans="1:17" x14ac:dyDescent="0.35">
      <c r="A21" s="10"/>
      <c r="B21" s="3"/>
      <c r="C21" s="3"/>
      <c r="D21" s="3"/>
      <c r="E21" s="3"/>
      <c r="F21" s="3"/>
      <c r="G21" s="3"/>
      <c r="H21" s="41"/>
      <c r="I21" s="3"/>
      <c r="J21" s="45"/>
      <c r="K21" s="53"/>
      <c r="L21" s="54"/>
      <c r="M21" s="41"/>
      <c r="N21" s="3"/>
      <c r="O21" s="3"/>
      <c r="P21" s="45"/>
      <c r="Q21" s="3"/>
    </row>
    <row r="22" spans="1:17" x14ac:dyDescent="0.35">
      <c r="A22" s="24" t="s">
        <v>21</v>
      </c>
      <c r="B22" s="3"/>
      <c r="C22" s="3"/>
      <c r="D22" s="3"/>
      <c r="E22" s="3"/>
      <c r="F22" s="3"/>
      <c r="G22" s="3"/>
      <c r="H22" s="46" t="s">
        <v>22</v>
      </c>
      <c r="I22" s="47">
        <f xml:space="preserve"> mVenExp</f>
        <v/>
      </c>
      <c r="J22" s="52"/>
      <c r="K22" s="3" t="s">
        <v>23</v>
      </c>
      <c r="L22" s="3"/>
      <c r="M22" s="46" t="s">
        <v>24</v>
      </c>
      <c r="N22" s="47">
        <f xml:space="preserve"> mVenExo + mVenExp + mVenExpExo + mVenTVA</f>
        <v/>
      </c>
      <c r="O22" s="51"/>
      <c r="P22" s="52"/>
      <c r="Q22" s="3"/>
    </row>
    <row r="23" spans="1:17" x14ac:dyDescent="0.35">
      <c r="A23" s="10"/>
      <c r="B23" s="3"/>
      <c r="C23" s="3"/>
      <c r="D23" s="3"/>
      <c r="E23" s="3"/>
      <c r="F23" s="3"/>
      <c r="G23" s="3"/>
      <c r="H23" s="41"/>
      <c r="I23" s="3"/>
      <c r="J23" s="45"/>
      <c r="K23" s="3"/>
      <c r="L23" s="3"/>
      <c r="M23" s="41"/>
      <c r="N23" s="3"/>
      <c r="O23" s="3"/>
      <c r="P23" s="45"/>
      <c r="Q23" s="3"/>
    </row>
    <row r="24" spans="1:17" x14ac:dyDescent="0.35">
      <c r="A24" s="55" t="s">
        <v>25</v>
      </c>
      <c r="B24" s="15"/>
      <c r="C24" s="15"/>
      <c r="D24" s="15"/>
      <c r="E24" s="15"/>
      <c r="F24" s="15"/>
      <c r="G24" s="15"/>
      <c r="H24" s="56" t="s">
        <v>26</v>
      </c>
      <c r="I24" s="57">
        <f xml:space="preserve"> mVenExpExo</f>
        <v/>
      </c>
      <c r="J24" s="58"/>
      <c r="K24" s="15" t="s">
        <v>27</v>
      </c>
      <c r="L24" s="15"/>
      <c r="M24" s="56" t="s">
        <v>28</v>
      </c>
      <c r="N24" s="57">
        <f xml:space="preserve"> mLivTVA</f>
        <v/>
      </c>
      <c r="O24" s="59"/>
      <c r="P24" s="60"/>
      <c r="Q24" s="3"/>
    </row>
    <row r="25" spans="1:17" ht="9" customHeight="1" x14ac:dyDescent="0.35">
      <c r="A25" s="61"/>
      <c r="B25" s="3"/>
      <c r="C25" s="3"/>
      <c r="D25" s="3"/>
      <c r="E25" s="3"/>
      <c r="F25" s="3"/>
      <c r="G25" s="3"/>
      <c r="H25" s="28"/>
      <c r="I25" s="13"/>
      <c r="J25" s="3"/>
      <c r="K25" s="3"/>
      <c r="L25" s="36"/>
      <c r="M25" s="28"/>
      <c r="N25" s="13"/>
      <c r="O25" s="3"/>
      <c r="P25" s="36"/>
      <c r="Q25" s="3"/>
    </row>
    <row r="26" spans="1:17" x14ac:dyDescent="0.35">
      <c r="A26" s="17" t="s">
        <v>29</v>
      </c>
      <c r="B26" s="18"/>
      <c r="C26" s="18"/>
      <c r="D26" s="19"/>
      <c r="E26" s="19"/>
      <c r="F26" s="19"/>
      <c r="G26" s="19"/>
      <c r="H26" s="19"/>
      <c r="I26" s="19"/>
      <c r="J26" s="19"/>
      <c r="K26" s="19"/>
      <c r="L26" s="39"/>
      <c r="M26" s="62"/>
      <c r="N26" s="19" t="s">
        <v>30</v>
      </c>
      <c r="O26" s="19"/>
      <c r="P26" s="40"/>
      <c r="Q26" s="3"/>
    </row>
    <row r="27" spans="1:17" x14ac:dyDescent="0.35">
      <c r="A27" s="24" t="s">
        <v>31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41"/>
      <c r="M27" s="10"/>
      <c r="N27" s="3"/>
      <c r="O27" s="3"/>
      <c r="P27" s="45"/>
      <c r="Q27" s="3"/>
    </row>
    <row r="28" spans="1:17" x14ac:dyDescent="0.35">
      <c r="A28" s="10"/>
      <c r="B28" s="3" t="s">
        <v>32</v>
      </c>
      <c r="C28" s="3"/>
      <c r="D28" s="3"/>
      <c r="E28" s="3"/>
      <c r="F28" s="3"/>
      <c r="G28" s="3"/>
      <c r="H28" s="3"/>
      <c r="I28" s="3"/>
      <c r="J28" s="3"/>
      <c r="K28" s="3"/>
      <c r="L28" s="46" t="s">
        <v>33</v>
      </c>
      <c r="M28" s="47">
        <f xml:space="preserve"> mCrRep</f>
        <v/>
      </c>
      <c r="N28" s="51"/>
      <c r="O28" s="51"/>
      <c r="P28" s="52"/>
      <c r="Q28" s="3"/>
    </row>
    <row r="29" spans="1:17" x14ac:dyDescent="0.35">
      <c r="A29" s="24" t="s">
        <v>34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41"/>
      <c r="M29" s="10"/>
      <c r="N29" s="3"/>
      <c r="O29" s="3"/>
      <c r="P29" s="45"/>
      <c r="Q29" s="3"/>
    </row>
    <row r="30" spans="1:17" x14ac:dyDescent="0.35">
      <c r="A30" s="10"/>
      <c r="B30" s="3" t="s">
        <v>35</v>
      </c>
      <c r="C30" s="3"/>
      <c r="D30" s="3"/>
      <c r="E30" s="3"/>
      <c r="F30" s="3"/>
      <c r="G30" s="3"/>
      <c r="H30" s="3"/>
      <c r="I30" s="3"/>
      <c r="J30" s="3"/>
      <c r="K30" s="3"/>
      <c r="L30" s="46" t="s">
        <v>36</v>
      </c>
      <c r="M30" s="47">
        <f xml:space="preserve"> mTVAAch</f>
        <v/>
      </c>
      <c r="N30" s="51"/>
      <c r="O30" s="51"/>
      <c r="P30" s="52"/>
      <c r="Q30" s="3"/>
    </row>
    <row r="31" spans="1:17" x14ac:dyDescent="0.35">
      <c r="A31" s="24" t="s">
        <v>37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41"/>
      <c r="M31" s="10"/>
      <c r="N31" s="3"/>
      <c r="O31" s="3"/>
      <c r="P31" s="45"/>
      <c r="Q31" s="3"/>
    </row>
    <row r="32" spans="1:17" x14ac:dyDescent="0.35">
      <c r="A32" s="10"/>
      <c r="B32" s="3" t="s">
        <v>38</v>
      </c>
      <c r="C32" s="3"/>
      <c r="F32" s="3"/>
      <c r="G32" s="3"/>
      <c r="H32" s="3"/>
      <c r="I32" s="3"/>
      <c r="J32" s="3"/>
      <c r="K32" s="3"/>
      <c r="L32" s="46" t="s">
        <v>39</v>
      </c>
      <c r="M32" s="47">
        <f xml:space="preserve"> mTVAIm</f>
        <v/>
      </c>
      <c r="N32" s="51"/>
      <c r="O32" s="51"/>
      <c r="P32" s="52"/>
      <c r="Q32" s="3"/>
    </row>
    <row r="33" spans="1:17" x14ac:dyDescent="0.35">
      <c r="A33" s="10"/>
      <c r="B33" s="3"/>
      <c r="C33" s="3"/>
      <c r="D33" s="3"/>
      <c r="E33" s="3"/>
      <c r="F33" s="3"/>
      <c r="G33" s="3"/>
      <c r="H33" s="3"/>
      <c r="I33" s="3"/>
      <c r="J33" s="3"/>
      <c r="K33" s="3"/>
      <c r="L33" s="41"/>
      <c r="M33" s="10"/>
      <c r="N33" s="3"/>
      <c r="O33" s="3"/>
      <c r="P33" s="45"/>
      <c r="Q33" s="3"/>
    </row>
    <row r="34" spans="1:17" ht="29.25" customHeight="1" x14ac:dyDescent="0.35">
      <c r="A34" s="10"/>
      <c r="B34" s="3"/>
      <c r="C34" s="45"/>
      <c r="D34" s="63" t="s">
        <v>40</v>
      </c>
      <c r="E34" s="63"/>
      <c r="F34" s="64"/>
      <c r="G34" s="64"/>
      <c r="H34" s="64"/>
      <c r="I34" s="64"/>
      <c r="J34" s="65"/>
      <c r="K34" s="66"/>
      <c r="L34" s="46" t="s">
        <v>41</v>
      </c>
      <c r="M34" s="47">
        <f xml:space="preserve"> mTVAReg</f>
        <v/>
      </c>
      <c r="N34" s="51"/>
      <c r="O34" s="51"/>
      <c r="P34" s="52"/>
      <c r="Q34" s="3"/>
    </row>
    <row r="35" spans="1:17" x14ac:dyDescent="0.35">
      <c r="A35" s="24" t="s">
        <v>42</v>
      </c>
      <c r="B35" s="3"/>
      <c r="C35" s="45"/>
      <c r="D35" s="3"/>
      <c r="E35" s="3"/>
      <c r="F35" s="3"/>
      <c r="G35" s="3"/>
      <c r="H35" s="3"/>
      <c r="I35" s="3"/>
      <c r="J35" s="3"/>
      <c r="K35" s="3"/>
      <c r="L35" s="41"/>
      <c r="M35" s="10"/>
      <c r="N35" s="3"/>
      <c r="O35" s="3"/>
      <c r="P35" s="45"/>
      <c r="Q35" s="3"/>
    </row>
    <row r="36" spans="1:17" x14ac:dyDescent="0.35">
      <c r="A36" s="10"/>
      <c r="B36" s="3"/>
      <c r="C36" s="45"/>
      <c r="D36" s="3"/>
      <c r="E36" s="3"/>
      <c r="F36" s="3"/>
      <c r="G36" s="3"/>
      <c r="H36" s="3"/>
      <c r="I36" s="3"/>
      <c r="J36" s="3"/>
      <c r="K36" s="3"/>
      <c r="L36" s="41"/>
      <c r="M36" s="10"/>
      <c r="N36" s="3"/>
      <c r="O36" s="3"/>
      <c r="P36" s="45"/>
      <c r="Q36" s="3"/>
    </row>
    <row r="37" spans="1:17" x14ac:dyDescent="0.35">
      <c r="A37" s="10"/>
      <c r="B37" s="3"/>
      <c r="C37" s="45"/>
      <c r="D37" s="28" t="s">
        <v>43</v>
      </c>
      <c r="E37" s="28"/>
      <c r="F37" s="3"/>
      <c r="G37" s="3"/>
      <c r="H37" s="3"/>
      <c r="I37" s="3"/>
      <c r="J37" s="3"/>
      <c r="K37" s="3"/>
      <c r="L37" s="46" t="s">
        <v>44</v>
      </c>
      <c r="M37" s="47">
        <f>augAPayer</f>
        <v/>
      </c>
      <c r="N37" s="67"/>
      <c r="O37" s="67"/>
      <c r="P37" s="68"/>
      <c r="Q37" s="3"/>
    </row>
    <row r="38" spans="1:17" x14ac:dyDescent="0.35">
      <c r="A38" s="10"/>
      <c r="B38" s="3"/>
      <c r="C38" s="3"/>
      <c r="D38" s="3"/>
      <c r="E38" s="69" t="str">
        <f>Motif</f>
        <v/>
      </c>
      <c r="F38" s="69"/>
      <c r="G38" s="69"/>
      <c r="H38" s="69"/>
      <c r="I38" s="69"/>
      <c r="J38" s="69"/>
      <c r="K38" s="70"/>
      <c r="L38" s="41"/>
      <c r="M38" s="10"/>
      <c r="N38" s="3"/>
      <c r="O38" s="3"/>
      <c r="P38" s="45"/>
      <c r="Q38" s="3"/>
    </row>
    <row r="39" spans="1:17" x14ac:dyDescent="0.35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41"/>
      <c r="M39" s="10"/>
      <c r="N39" s="3"/>
      <c r="O39" s="3"/>
      <c r="P39" s="45"/>
      <c r="Q39" s="3"/>
    </row>
    <row r="40" spans="1:17" x14ac:dyDescent="0.35">
      <c r="A40" s="10"/>
      <c r="B40" s="3"/>
      <c r="C40" s="3"/>
      <c r="D40" s="3"/>
      <c r="E40" s="3"/>
      <c r="F40" s="3"/>
      <c r="G40" s="3"/>
      <c r="H40" s="3"/>
      <c r="I40" s="3" t="s">
        <v>45</v>
      </c>
      <c r="J40" s="3"/>
      <c r="K40" s="3"/>
      <c r="L40" s="46" t="s">
        <v>46</v>
      </c>
      <c r="M40" s="47">
        <f xml:space="preserve"> M28+M30+M32+M34-M37</f>
        <v/>
      </c>
      <c r="N40" s="51"/>
      <c r="O40" s="51"/>
      <c r="P40" s="52"/>
      <c r="Q40" s="3"/>
    </row>
    <row r="41" spans="1:17" ht="9" customHeight="1" x14ac:dyDescent="0.3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"/>
    </row>
    <row r="42" spans="1:17" x14ac:dyDescent="0.35">
      <c r="A42" s="17" t="s">
        <v>47</v>
      </c>
      <c r="B42" s="19"/>
      <c r="C42" s="19"/>
      <c r="D42" s="19"/>
      <c r="E42" s="19"/>
      <c r="F42" s="19"/>
      <c r="G42" s="39"/>
      <c r="H42" s="62"/>
      <c r="I42" s="40"/>
      <c r="J42" s="19"/>
      <c r="K42" s="71" t="s">
        <v>48</v>
      </c>
      <c r="L42" s="19" t="s">
        <v>49</v>
      </c>
      <c r="M42" s="19"/>
      <c r="N42" s="19"/>
      <c r="O42" s="19"/>
      <c r="P42" s="40"/>
      <c r="Q42" s="3"/>
    </row>
    <row r="43" spans="1:17" x14ac:dyDescent="0.35">
      <c r="A43" s="72" t="s">
        <v>71</v>
      </c>
      <c r="G43" s="73" t="s">
        <v>50</v>
      </c>
      <c r="H43" s="47">
        <f xml:space="preserve">  mTVABrut</f>
        <v/>
      </c>
      <c r="I43" s="74"/>
      <c r="P43" s="11"/>
    </row>
    <row r="44" spans="1:17" x14ac:dyDescent="0.35">
      <c r="A44" s="75"/>
      <c r="G44" s="76"/>
      <c r="H44" s="75"/>
      <c r="I44" s="11"/>
      <c r="K44" s="3" t="s">
        <v>51</v>
      </c>
      <c r="L44" s="3"/>
      <c r="M44" s="3"/>
      <c r="N44" s="77">
        <f xml:space="preserve"> H47</f>
        <v/>
      </c>
      <c r="O44" s="51"/>
      <c r="P44" s="52"/>
    </row>
    <row r="45" spans="1:17" x14ac:dyDescent="0.35">
      <c r="A45" s="72" t="s">
        <v>52</v>
      </c>
      <c r="G45" s="73" t="s">
        <v>53</v>
      </c>
      <c r="H45" s="47">
        <f xml:space="preserve"> M40</f>
        <v/>
      </c>
      <c r="I45" s="74"/>
      <c r="K45" s="3"/>
      <c r="L45" s="3"/>
      <c r="M45" s="3"/>
      <c r="N45" s="3"/>
      <c r="O45" s="3"/>
      <c r="P45" s="45"/>
    </row>
    <row r="46" spans="1:17" x14ac:dyDescent="0.35">
      <c r="A46" s="75"/>
      <c r="G46" s="76"/>
      <c r="H46" s="75"/>
      <c r="I46" s="11"/>
      <c r="K46" s="3" t="s">
        <v>54</v>
      </c>
      <c r="L46" s="78" t="str">
        <f>Mode</f>
        <v/>
      </c>
      <c r="M46" s="79"/>
      <c r="N46" s="79"/>
      <c r="O46" s="79"/>
      <c r="P46" s="45"/>
    </row>
    <row r="47" spans="1:17" x14ac:dyDescent="0.35">
      <c r="A47" s="72" t="s">
        <v>55</v>
      </c>
      <c r="G47" s="73" t="s">
        <v>56</v>
      </c>
      <c r="H47" s="80">
        <f xml:space="preserve"> mTVANet</f>
        <v/>
      </c>
      <c r="I47" s="81"/>
      <c r="K47" s="82" t="s">
        <v>57</v>
      </c>
      <c r="L47" s="78" t="str">
        <f xml:space="preserve"> Bq</f>
        <v/>
      </c>
      <c r="M47" s="79"/>
      <c r="N47" s="79"/>
      <c r="O47" s="79"/>
      <c r="P47" s="83"/>
    </row>
    <row r="48" spans="1:17" x14ac:dyDescent="0.35">
      <c r="A48" s="75"/>
      <c r="G48" s="76"/>
      <c r="H48" s="75"/>
      <c r="I48" s="11"/>
      <c r="K48" s="82" t="s">
        <v>58</v>
      </c>
      <c r="L48" s="78" t="str">
        <f xml:space="preserve"> Chq</f>
        <v/>
      </c>
      <c r="M48" s="79"/>
      <c r="N48" s="79"/>
      <c r="O48" s="79"/>
      <c r="P48" s="83"/>
    </row>
    <row r="49" spans="1:16" x14ac:dyDescent="0.35">
      <c r="A49" s="72" t="s">
        <v>59</v>
      </c>
      <c r="G49" s="73" t="s">
        <v>60</v>
      </c>
      <c r="H49" s="80">
        <f xml:space="preserve"> mTVACr</f>
        <v/>
      </c>
      <c r="I49" s="81"/>
      <c r="K49" s="3"/>
      <c r="L49" s="3"/>
      <c r="M49" s="3"/>
      <c r="N49" s="3"/>
      <c r="O49" s="3"/>
      <c r="P49" s="45"/>
    </row>
    <row r="50" spans="1:16" ht="9" customHeight="1" x14ac:dyDescent="0.35">
      <c r="A50" s="84"/>
      <c r="B50" s="38"/>
      <c r="C50" s="38"/>
      <c r="D50" s="38"/>
      <c r="E50" s="38"/>
      <c r="F50" s="38"/>
      <c r="G50" s="85"/>
      <c r="H50" s="86"/>
      <c r="I50" s="86"/>
      <c r="J50" s="38"/>
      <c r="K50" s="36"/>
      <c r="L50" s="36"/>
      <c r="M50" s="36"/>
      <c r="N50" s="36"/>
      <c r="O50" s="36"/>
      <c r="P50" s="36"/>
    </row>
    <row r="51" spans="1:16" x14ac:dyDescent="0.35">
      <c r="A51" s="87" t="s">
        <v>61</v>
      </c>
      <c r="B51" s="88"/>
      <c r="C51" s="88"/>
      <c r="D51" s="88"/>
      <c r="E51" s="88"/>
      <c r="F51" s="88"/>
      <c r="G51" s="88"/>
      <c r="H51" s="88"/>
      <c r="I51" s="89"/>
      <c r="K51" s="1" t="s">
        <v>62</v>
      </c>
      <c r="P51" s="11"/>
    </row>
    <row r="52" spans="1:16" ht="21.75" customHeight="1" x14ac:dyDescent="0.35">
      <c r="A52" s="72" t="s">
        <v>63</v>
      </c>
      <c r="I52" s="11"/>
      <c r="P52" s="11"/>
    </row>
    <row r="53" spans="1:16" x14ac:dyDescent="0.35">
      <c r="A53" s="72" t="s">
        <v>64</v>
      </c>
      <c r="D53" s="4" t="s">
        <v>65</v>
      </c>
      <c r="G53" s="90"/>
      <c r="I53" s="11"/>
      <c r="J53" s="4" t="s">
        <v>66</v>
      </c>
      <c r="K53" s="91" t="str">
        <f xml:space="preserve"> Ville</f>
        <v/>
      </c>
      <c r="L53" s="91"/>
      <c r="M53" s="4" t="s">
        <v>67</v>
      </c>
      <c r="N53" s="92" t="str">
        <f xml:space="preserve"> dSign</f>
        <v/>
      </c>
      <c r="O53" s="93"/>
      <c r="P53" s="94"/>
    </row>
    <row r="54" spans="1:16" x14ac:dyDescent="0.35">
      <c r="A54" s="72"/>
      <c r="G54" s="90"/>
      <c r="I54" s="11"/>
      <c r="K54" s="90"/>
      <c r="N54" s="90"/>
      <c r="P54" s="11"/>
    </row>
    <row r="55" spans="1:16" x14ac:dyDescent="0.35">
      <c r="A55" s="75"/>
      <c r="D55" s="4" t="s">
        <v>68</v>
      </c>
      <c r="F55" s="4" t="s">
        <v>69</v>
      </c>
      <c r="G55" s="90"/>
      <c r="I55" s="11"/>
      <c r="L55" s="4" t="s">
        <v>70</v>
      </c>
      <c r="P55" s="11"/>
    </row>
    <row r="56" spans="1:16" x14ac:dyDescent="0.35">
      <c r="A56" s="75"/>
      <c r="G56" s="90"/>
      <c r="I56" s="11"/>
      <c r="P56" s="11"/>
    </row>
    <row r="57" spans="1:16" ht="29.25" customHeight="1" x14ac:dyDescent="0.35">
      <c r="A57" s="95"/>
      <c r="B57" s="96"/>
      <c r="C57" s="96"/>
      <c r="D57" s="96"/>
      <c r="E57" s="96"/>
      <c r="F57" s="96"/>
      <c r="G57" s="96"/>
      <c r="H57" s="96"/>
      <c r="I57" s="16"/>
      <c r="J57" s="96"/>
      <c r="K57" s="96"/>
      <c r="L57" s="96"/>
      <c r="M57" s="96"/>
      <c r="N57" s="96"/>
      <c r="O57" s="96"/>
      <c r="P57" s="16"/>
    </row>
  </sheetData>
  <mergeCells count="39">
    <mergeCell ref="N53:P53"/>
    <mergeCell ref="L46:O46"/>
    <mergeCell ref="H47:I47"/>
    <mergeCell ref="L47:P47"/>
    <mergeCell ref="L48:P48"/>
    <mergeCell ref="H49:I49"/>
    <mergeCell ref="A51:I51"/>
    <mergeCell ref="M37:P37"/>
    <mergeCell ref="E38:K38"/>
    <mergeCell ref="M40:P40"/>
    <mergeCell ref="H43:I43"/>
    <mergeCell ref="N44:P44"/>
    <mergeCell ref="H45:I45"/>
    <mergeCell ref="I24:J24"/>
    <mergeCell ref="N24:P24"/>
    <mergeCell ref="M28:P28"/>
    <mergeCell ref="M30:P30"/>
    <mergeCell ref="M32:P32"/>
    <mergeCell ref="D34:I34"/>
    <mergeCell ref="M34:P34"/>
    <mergeCell ref="G16:P16"/>
    <mergeCell ref="I19:J19"/>
    <mergeCell ref="I20:J20"/>
    <mergeCell ref="K20:L21"/>
    <mergeCell ref="N20:P20"/>
    <mergeCell ref="I22:J22"/>
    <mergeCell ref="N22:P22"/>
    <mergeCell ref="F10:I10"/>
    <mergeCell ref="L10:P10"/>
    <mergeCell ref="G12:P12"/>
    <mergeCell ref="G13:P13"/>
    <mergeCell ref="G14:P14"/>
    <mergeCell ref="G15:P15"/>
    <mergeCell ref="G2:K2"/>
    <mergeCell ref="N2:P2"/>
    <mergeCell ref="G4:K4"/>
    <mergeCell ref="G6:K6"/>
    <mergeCell ref="F7:K7"/>
    <mergeCell ref="G8:K8"/>
  </mergeCells>
  <pageMargins left="0.39370078740157483" right="0.39370078740157483" top="0.39370078740157483" bottom="0.39370078740157483" header="0" footer="0"/>
  <pageSetup paperSize="9" scale="84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SURFACE</cp:lastModifiedBy>
  <dcterms:created xsi:type="dcterms:W3CDTF">2026-10-29T06:21:11Z</dcterms:created>
  <dcterms:modified xsi:type="dcterms:W3CDTF">2026-10-29T06:24:29Z</dcterms:modified>
</cp:coreProperties>
</file>