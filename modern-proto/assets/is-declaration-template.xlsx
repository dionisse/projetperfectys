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\Downloads\"/>
    </mc:Choice>
  </mc:AlternateContent>
  <xr:revisionPtr revIDLastSave="0" documentId="8_{7280F5D4-207F-4D03-A4E1-7EA8CC65BB46}" xr6:coauthVersionLast="47" xr6:coauthVersionMax="47" xr10:uidLastSave="{00000000-0000-0000-0000-000000000000}"/>
  <bookViews>
    <workbookView xWindow="-98" yWindow="-98" windowWidth="24496" windowHeight="16395" activeTab="3" xr2:uid="{00000000-000D-0000-FFFF-FFFF00000000}"/>
  </bookViews>
  <sheets>
    <sheet name="IS1" sheetId="4" r:id="rId1"/>
    <sheet name="IS2" sheetId="5" r:id="rId2"/>
    <sheet name="IS3" sheetId="6" r:id="rId3"/>
    <sheet name="IS4" sheetId="7" r:id="rId4"/>
  </sheets>
  <definedNames>
    <definedName name="_centreImpot">"CENTRE DES IMPOTS DE "</definedName>
    <definedName name="_dAn">" 2025"</definedName>
    <definedName name="_dDeb">" 01/01/2025"</definedName>
    <definedName name="_dFin">" 31/12/2025"</definedName>
    <definedName name="_Duree">"Durée (en mois) 12"</definedName>
    <definedName name="_ExerClos">"Exercice clos le 31/12/2025"</definedName>
    <definedName name="_ExerFin">" 31/12/2025"</definedName>
    <definedName name="_ExerFin1">" 31/12/2024"</definedName>
    <definedName name="_insae">" "</definedName>
    <definedName name="_Mois">12</definedName>
    <definedName name="_nbMois">12</definedName>
    <definedName name="_nCompletPays">"REPUBLIQUE DU BENIN"</definedName>
    <definedName name="_nSo">"Dares Services Sarl"</definedName>
    <definedName name="_Pays">"REPUBLIQUE DU BENIN"</definedName>
    <definedName name="_regCom">" "</definedName>
    <definedName name="_sigle">" "</definedName>
    <definedName name="_soAdr">" "</definedName>
    <definedName name="_soAg1">" "</definedName>
    <definedName name="_soAg2">" "</definedName>
    <definedName name="_soId">" "</definedName>
    <definedName name="_soNom">"Dares Services Sarl"</definedName>
    <definedName name="_soNumFisc">" "</definedName>
    <definedName name="_soSigle">" "</definedName>
    <definedName name="_sTabExer">"Tableau financiers au 31/12/2025"</definedName>
    <definedName name="_Ville">"CENTRE DES IMPÔTS DE COTONOU"</definedName>
    <definedName name="anExer">2025</definedName>
    <definedName name="emprExer">0</definedName>
    <definedName name="emprRemb">0</definedName>
    <definedName name="imAcq">51612785</definedName>
    <definedName name="imVen">80000</definedName>
    <definedName name="mExport">0</definedName>
    <definedName name="mImport">0</definedName>
    <definedName name="mSal">0</definedName>
    <definedName name="mVenLoc">0</definedName>
    <definedName name="numFisc">" "</definedName>
    <definedName name="perExer">" "</definedName>
    <definedName name="soNom">"Dares Services Sarl"</definedName>
    <definedName name="tauxImpot">30</definedName>
  </definedNames>
  <calcPr calcId="191029"/>
</workbook>
</file>

<file path=xl/calcChain.xml><?xml version="1.0" encoding="utf-8"?>
<calcChain xmlns="http://schemas.openxmlformats.org/spreadsheetml/2006/main">
  <c r="H34" i="5" l="1"/>
  <c r="H14" i="5"/>
  <c r="O16" i="7" l="1"/>
  <c r="O11" i="7"/>
  <c r="O14" i="7" s="1"/>
  <c r="C41" i="7" s="1"/>
  <c r="O15" i="7"/>
  <c r="D12" i="4"/>
  <c r="K12" i="4"/>
  <c r="D15" i="4"/>
  <c r="D16" i="4"/>
  <c r="O44" i="4"/>
  <c r="O45" i="4"/>
  <c r="O46" i="4"/>
  <c r="O47" i="4"/>
  <c r="O48" i="4"/>
  <c r="O49" i="4"/>
  <c r="C36" i="6"/>
  <c r="D36" i="6"/>
  <c r="S36" i="6"/>
  <c r="H36" i="6" l="1"/>
</calcChain>
</file>

<file path=xl/sharedStrings.xml><?xml version="1.0" encoding="utf-8"?>
<sst xmlns="http://schemas.openxmlformats.org/spreadsheetml/2006/main" count="233" uniqueCount="216">
  <si>
    <t xml:space="preserve">MINISTERE DE L'ECONOMIE  </t>
  </si>
  <si>
    <t xml:space="preserve">ET DES FINANCES </t>
  </si>
  <si>
    <t xml:space="preserve">REGIME DU BENEFICE REEL D'IMPOSITION </t>
  </si>
  <si>
    <t xml:space="preserve">REGIME DU BENEFICE REEL SIMPLIFIE D'IMPOSITION </t>
  </si>
  <si>
    <t>Nombre de Salariés :</t>
  </si>
  <si>
    <t xml:space="preserve">            </t>
  </si>
  <si>
    <t xml:space="preserve">REPUBLIQUE DU BENIN </t>
  </si>
  <si>
    <t xml:space="preserve">DIRECTION GENERALE </t>
  </si>
  <si>
    <t xml:space="preserve">DES IMPOTS ET DES DOMAINES </t>
  </si>
  <si>
    <r>
      <t xml:space="preserve">ANNEE : </t>
    </r>
    <r>
      <rPr>
        <sz val="8"/>
        <color indexed="8"/>
        <rFont val="Arial"/>
        <family val="2"/>
      </rPr>
      <t/>
    </r>
  </si>
  <si>
    <t xml:space="preserve">Forme juridique : </t>
  </si>
  <si>
    <t xml:space="preserve"> ZIP:</t>
  </si>
  <si>
    <t xml:space="preserve">Adresse   </t>
  </si>
  <si>
    <t xml:space="preserve">dont immobilisations acquises par crédit-bail  </t>
  </si>
  <si>
    <t xml:space="preserve">Compte N°  </t>
  </si>
  <si>
    <t xml:space="preserve">et contrats assimilés  </t>
  </si>
  <si>
    <r>
      <t>Fraternité-Justice-Travail</t>
    </r>
    <r>
      <rPr>
        <sz val="9"/>
        <color indexed="8"/>
        <rFont val="Calibri"/>
        <family val="2"/>
      </rPr>
      <t xml:space="preserve"> </t>
    </r>
  </si>
  <si>
    <r>
      <t>IDENTIFICATION</t>
    </r>
    <r>
      <rPr>
        <sz val="9"/>
        <color indexed="8"/>
        <rFont val="Times New Roman"/>
        <family val="1"/>
      </rPr>
      <t xml:space="preserve"> </t>
    </r>
  </si>
  <si>
    <r>
      <rPr>
        <sz val="9"/>
        <color indexed="8"/>
        <rFont val="Calibri"/>
        <family val="2"/>
      </rPr>
      <t xml:space="preserve">Autre dénomination / enseigne commerciale: </t>
    </r>
    <r>
      <rPr>
        <sz val="9"/>
        <color indexed="8"/>
        <rFont val="Times New Roman"/>
        <family val="1"/>
      </rPr>
      <t xml:space="preserve"> </t>
    </r>
  </si>
  <si>
    <t>Siège:  QIP</t>
  </si>
  <si>
    <r>
      <t>RENSEIGNEMENTS GENERAUX</t>
    </r>
    <r>
      <rPr>
        <sz val="9"/>
        <color indexed="8"/>
        <rFont val="Calibri"/>
        <family val="2"/>
      </rPr>
      <t xml:space="preserve"> </t>
    </r>
  </si>
  <si>
    <r>
      <t>RESULTAT TAXABLE</t>
    </r>
    <r>
      <rPr>
        <sz val="9"/>
        <color indexed="8"/>
        <rFont val="Calibri"/>
        <family val="2"/>
      </rPr>
      <t xml:space="preserve"> </t>
    </r>
  </si>
  <si>
    <r>
      <t>BILAN</t>
    </r>
    <r>
      <rPr>
        <sz val="9"/>
        <color indexed="8"/>
        <rFont val="Calibri"/>
        <family val="2"/>
      </rPr>
      <t xml:space="preserve"> </t>
    </r>
  </si>
  <si>
    <r>
      <t>OBSERVATIONS IMPORTANTES</t>
    </r>
    <r>
      <rPr>
        <sz val="9"/>
        <color indexed="8"/>
        <rFont val="Calibri"/>
        <family val="2"/>
      </rPr>
      <t xml:space="preserve"> </t>
    </r>
  </si>
  <si>
    <r>
      <t>RESERVE A L’ADMINISTRATION</t>
    </r>
    <r>
      <rPr>
        <sz val="9"/>
        <color indexed="8"/>
        <rFont val="Calibri"/>
        <family val="2"/>
      </rPr>
      <t xml:space="preserve"> </t>
    </r>
  </si>
  <si>
    <t>Autres</t>
  </si>
  <si>
    <t>BP</t>
  </si>
  <si>
    <t>Localité</t>
  </si>
  <si>
    <t>Téléphone</t>
  </si>
  <si>
    <t>QIP</t>
  </si>
  <si>
    <t>Adresse électronique :</t>
  </si>
  <si>
    <t xml:space="preserve">Nom, Prénoms et adresse du comptable :  </t>
  </si>
  <si>
    <t xml:space="preserve">Prix de vente des immobilisations cédées en cours d'année  </t>
  </si>
  <si>
    <t xml:space="preserve">Emprunts contractés en cours d'année  </t>
  </si>
  <si>
    <t xml:space="preserve">Emprunts remboursés en cours d'année (sauf frais financiers)  </t>
  </si>
  <si>
    <t xml:space="preserve">Montant des importations rendues frontière (valeur hors TVA)  </t>
  </si>
  <si>
    <t xml:space="preserve">Chiffre d'affaires hors TVA imposable déclaré en TVA  </t>
  </si>
  <si>
    <t xml:space="preserve">Frais de personnel déclarés  </t>
  </si>
  <si>
    <t xml:space="preserve">Nombre de véhicules de tourisme utilisés par l'entreprise  </t>
  </si>
  <si>
    <t xml:space="preserve">Prix des immobilisations acquises en cours d'année  </t>
  </si>
  <si>
    <t>Ventes en l'état de marchandises</t>
  </si>
  <si>
    <t>Ventes de produits fabriqués</t>
  </si>
  <si>
    <t xml:space="preserve">Production stockée (+ ou-)  </t>
  </si>
  <si>
    <t xml:space="preserve">Production immobilisée  </t>
  </si>
  <si>
    <t xml:space="preserve">Travaux et services vendus                            </t>
  </si>
  <si>
    <t xml:space="preserve">Produits accessoires (joindre détail)  </t>
  </si>
  <si>
    <t xml:space="preserve">Produits financiers  </t>
  </si>
  <si>
    <t xml:space="preserve">Stock de marchandises en début d’exercice  </t>
  </si>
  <si>
    <t xml:space="preserve">Achat de marchandises                 </t>
  </si>
  <si>
    <t xml:space="preserve">Stock de marchandises en fin d’exercice  </t>
  </si>
  <si>
    <t xml:space="preserve">Stock de matières et fournitures liées en début d’exercice  </t>
  </si>
  <si>
    <t xml:space="preserve">Achat de matières et fournitures liées  </t>
  </si>
  <si>
    <t xml:space="preserve">Stock de matières et fournitures liées en fin d’exercice  </t>
  </si>
  <si>
    <t xml:space="preserve">Stock des autres approvisionnements en début d’exercice   </t>
  </si>
  <si>
    <t xml:space="preserve">Achat des autres approvisionnements       </t>
  </si>
  <si>
    <t xml:space="preserve">Stock des autres approvisionnements en fin d’exercice  </t>
  </si>
  <si>
    <t xml:space="preserve">Transports (joindre détail)  </t>
  </si>
  <si>
    <t xml:space="preserve">Services extérieurs (joindre détail)  </t>
  </si>
  <si>
    <t xml:space="preserve">Impôts et taxes (joindre détail)  </t>
  </si>
  <si>
    <t xml:space="preserve">Autres charges (joindre détail)  </t>
  </si>
  <si>
    <t xml:space="preserve">Charges de personnel (joindre détail)  </t>
  </si>
  <si>
    <t xml:space="preserve">Dotation aux amortissements et aux provisions (joindre détail)  </t>
  </si>
  <si>
    <t xml:space="preserve">Charges financières  </t>
  </si>
  <si>
    <t xml:space="preserve">Résultat sur cession d’éléments d’actif immobilisé (+ ou -)  </t>
  </si>
  <si>
    <t xml:space="preserve">Déficit  </t>
  </si>
  <si>
    <t xml:space="preserve">Frais et charges non déductibles fiscalement (joindre détail)     </t>
  </si>
  <si>
    <t xml:space="preserve">Déficits antérieurs reportables (joindre note explicative)  </t>
  </si>
  <si>
    <t xml:space="preserve">Bénéfice  </t>
  </si>
  <si>
    <r>
      <t>ACTIF</t>
    </r>
    <r>
      <rPr>
        <sz val="9"/>
        <color indexed="8"/>
        <rFont val="Calibri"/>
        <family val="2"/>
      </rPr>
      <t/>
    </r>
  </si>
  <si>
    <t xml:space="preserve"> PASSIF </t>
  </si>
  <si>
    <t>NET</t>
  </si>
  <si>
    <t>BRUT
(a)</t>
  </si>
  <si>
    <t>Amortissements
Provisions
(b)</t>
  </si>
  <si>
    <t xml:space="preserve">ACTIF  IMMOBILISE </t>
  </si>
  <si>
    <t>CAPITAUX PROPRES ET RESSOURCES ASSIMILEES</t>
  </si>
  <si>
    <t xml:space="preserve">Banques et chèques postaux  </t>
  </si>
  <si>
    <t xml:space="preserve">Caisse   </t>
  </si>
  <si>
    <t>Charges immobilisées</t>
  </si>
  <si>
    <t xml:space="preserve"> CAPITAL  (+ ou -)     </t>
  </si>
  <si>
    <t>Immobilisations  corporelles</t>
  </si>
  <si>
    <t>Terrains</t>
  </si>
  <si>
    <t>Bâtiments</t>
  </si>
  <si>
    <t>Installations et Agencements</t>
  </si>
  <si>
    <t>Immobilisations financières</t>
  </si>
  <si>
    <t>ACTIF CIRCULANT</t>
  </si>
  <si>
    <t>Actif circulant HAO</t>
  </si>
  <si>
    <t>Marchandises</t>
  </si>
  <si>
    <t>Produits fabriqués</t>
  </si>
  <si>
    <t>Autres (joindre détail)</t>
  </si>
  <si>
    <t xml:space="preserve">Fournisseurs avances versées </t>
  </si>
  <si>
    <t xml:space="preserve">Clients </t>
  </si>
  <si>
    <t>Personnel</t>
  </si>
  <si>
    <t>Etat (joindre détail)</t>
  </si>
  <si>
    <t>Associés</t>
  </si>
  <si>
    <t>Comptes de régularisation actif</t>
  </si>
  <si>
    <t xml:space="preserve">Autres créances (joindre détail) </t>
  </si>
  <si>
    <t>TRESORERIE ACTIF</t>
  </si>
  <si>
    <t>Titres de placement</t>
  </si>
  <si>
    <t>Valeurs à encaisser</t>
  </si>
  <si>
    <t xml:space="preserve">Primes et réserves  </t>
  </si>
  <si>
    <t xml:space="preserve">Report à nouveau (+ ou -)  </t>
  </si>
  <si>
    <t xml:space="preserve">Résultat net de l’exercice (+ou -)  </t>
  </si>
  <si>
    <t xml:space="preserve">Subventions d’investissement  </t>
  </si>
  <si>
    <t xml:space="preserve">Emprunts       </t>
  </si>
  <si>
    <t xml:space="preserve">Dettes de crédit-bail   </t>
  </si>
  <si>
    <t xml:space="preserve">Dettes financières diverses   </t>
  </si>
  <si>
    <t xml:space="preserve">Clients avances reçues  </t>
  </si>
  <si>
    <t xml:space="preserve">Fournisseurs d’exploitation  </t>
  </si>
  <si>
    <t xml:space="preserve">Dettes fiscales (joindre détail)    </t>
  </si>
  <si>
    <t xml:space="preserve"> Dettes sociales (joindre détail)   </t>
  </si>
  <si>
    <t xml:space="preserve">Compte de régularisation passif  </t>
  </si>
  <si>
    <t xml:space="preserve">Risques provisionnés  </t>
  </si>
  <si>
    <t xml:space="preserve">Banques        </t>
  </si>
  <si>
    <t xml:space="preserve">Divers      </t>
  </si>
  <si>
    <t xml:space="preserve">Immobilisations  Incorporelles  </t>
  </si>
  <si>
    <t xml:space="preserve">Provisions réglementées   et fonds assimilés  </t>
  </si>
  <si>
    <t>Avances et acomptes versés sur immobilisations</t>
  </si>
  <si>
    <t xml:space="preserve">Matières premières et autres approvisionnements  </t>
  </si>
  <si>
    <r>
      <t>LE DECLARANT</t>
    </r>
    <r>
      <rPr>
        <u/>
        <sz val="9"/>
        <color indexed="8"/>
        <rFont val="Calibri"/>
        <family val="2"/>
      </rPr>
      <t xml:space="preserve"> </t>
    </r>
  </si>
  <si>
    <t xml:space="preserve"> le ........................................ </t>
  </si>
  <si>
    <t>A                                       ,</t>
  </si>
  <si>
    <t>N°</t>
  </si>
  <si>
    <r>
      <t>Régime du REEL NORMAL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Calibri"/>
        <family val="2"/>
      </rPr>
      <t xml:space="preserve"> </t>
    </r>
  </si>
  <si>
    <t xml:space="preserve">des grossistes ou de la retenue de 10% sur les revenu fonciers) </t>
  </si>
  <si>
    <r>
      <t>1</t>
    </r>
    <r>
      <rPr>
        <sz val="8"/>
        <color indexed="8"/>
        <rFont val="Calibri"/>
        <family val="2"/>
      </rPr>
      <t xml:space="preserve"> / Il s'agit des produits de cessions d'immobilisations compris dans les autres produits AO et HAO </t>
    </r>
  </si>
  <si>
    <t xml:space="preserve">documents exigés par le plan Comptable demeure obligatoire. Ces documents doivent être représentés à toute réquisition de  </t>
  </si>
  <si>
    <t xml:space="preserve">l'Administration. </t>
  </si>
  <si>
    <t xml:space="preserve">incomplet, vous vous exposez à des pénalités. </t>
  </si>
  <si>
    <t xml:space="preserve"> des Impôts pour éviter une amende…) ; </t>
  </si>
  <si>
    <t xml:space="preserve">  - de joindre la déclaration des commissions (à défaut les commissions ne seront pas déductibles) et les détails demandés ; </t>
  </si>
  <si>
    <t xml:space="preserve"> - de réintégrer au résultat fiscal les charges non déductibles fiscalement (ligne 55 ex : quote-part de l’usage  </t>
  </si>
  <si>
    <t xml:space="preserve">privé du véhicule, dons et libéralités au-delà de un pour mille du chiffre d’affaires, pénalités, amendes…) ; </t>
  </si>
  <si>
    <t xml:space="preserve"> - de déposer la déclaration avant le 1er mai, en cinq (05) exemplaires. </t>
  </si>
  <si>
    <t xml:space="preserve">   à le rencontrer.    </t>
  </si>
  <si>
    <t xml:space="preserve">Montant du versement      </t>
  </si>
  <si>
    <t xml:space="preserve">NUMERO D'IDENTIFIANT FISCAL UNIQUE:  </t>
  </si>
  <si>
    <r>
      <rPr>
        <sz val="9"/>
        <color indexed="8"/>
        <rFont val="Calibri"/>
        <family val="2"/>
      </rPr>
      <t xml:space="preserve">Raison sociale :  </t>
    </r>
    <r>
      <rPr>
        <sz val="9"/>
        <color indexed="8"/>
        <rFont val="Times New Roman"/>
        <family val="1"/>
      </rPr>
      <t xml:space="preserve"> </t>
    </r>
  </si>
  <si>
    <t>SA</t>
  </si>
  <si>
    <t>SARL</t>
  </si>
  <si>
    <t>à préciser</t>
  </si>
  <si>
    <t>Etablissements secondaires:</t>
  </si>
  <si>
    <t>Tél</t>
  </si>
  <si>
    <t xml:space="preserve">Nature de l'activité principale </t>
  </si>
  <si>
    <t>Nature de l'activité sécondaire</t>
  </si>
  <si>
    <r>
      <t>Nom, prénoms et adresse précise du représentant au Bénin</t>
    </r>
    <r>
      <rPr>
        <sz val="9"/>
        <color indexed="8"/>
        <rFont val="Calibri"/>
        <family val="2"/>
      </rPr>
      <t xml:space="preserve"> (pour les sociétés n'ayant pas de siège social au Bénin)</t>
    </r>
  </si>
  <si>
    <t>Nombre de propriétés immobilières situées au Bénin</t>
  </si>
  <si>
    <t>Valeurs locatives desdits propriétés</t>
  </si>
  <si>
    <t>Comptes bancaires : Banque ou CCP</t>
  </si>
  <si>
    <r>
      <t xml:space="preserve">Valeurs locatives des propriétés immobilières au Bénin </t>
    </r>
    <r>
      <rPr>
        <sz val="7"/>
        <color indexed="8"/>
        <rFont val="Calibri"/>
        <family val="2"/>
      </rPr>
      <t>(sociétés n'ayant pas de siège au Bénin)</t>
    </r>
  </si>
  <si>
    <t xml:space="preserve">TOTAL  DES  PRODUITS  (lignes 24 à 34)  </t>
  </si>
  <si>
    <t xml:space="preserve">COUT DES MARCHANDISES VENDUES   (lignes 36 + 37 – ligne 38)  </t>
  </si>
  <si>
    <t xml:space="preserve">COUT DES MATIERES ET FOURNITURES LIEES UTILISEES    (lignes 40 + 41 – ligne 42)  </t>
  </si>
  <si>
    <t xml:space="preserve">COUT DES AUTRES MATIERES CONSOMMEES. (lignes 44 + 45 – ligne 46)  </t>
  </si>
  <si>
    <t xml:space="preserve">DETTES FINANCIERES ET  RESSOURCES ASSIMILEES  </t>
  </si>
  <si>
    <r>
      <rPr>
        <u/>
        <sz val="8"/>
        <color indexed="8"/>
        <rFont val="Calibri"/>
        <family val="2"/>
      </rPr>
      <t xml:space="preserve">TOTAL </t>
    </r>
    <r>
      <rPr>
        <sz val="8"/>
        <color indexed="8"/>
        <rFont val="Calibri"/>
        <family val="2"/>
      </rPr>
      <t xml:space="preserve"> (lignes 65 à 89)</t>
    </r>
  </si>
  <si>
    <r>
      <rPr>
        <u/>
        <sz val="8"/>
        <color indexed="8"/>
        <rFont val="Calibri"/>
        <family val="2"/>
      </rPr>
      <t>TOTAL</t>
    </r>
    <r>
      <rPr>
        <sz val="8"/>
        <color indexed="8"/>
        <rFont val="Calibri"/>
        <family val="2"/>
      </rPr>
      <t xml:space="preserve">  (lignes 91 à 112)  </t>
    </r>
  </si>
  <si>
    <t xml:space="preserve">Provisions financières pour risques et charges  </t>
  </si>
  <si>
    <t>PASSIF CIRCULANT</t>
  </si>
  <si>
    <t xml:space="preserve">Dettes circulantes HAO et ressources assimilées  </t>
  </si>
  <si>
    <t xml:space="preserve">Associés et groupe  </t>
  </si>
  <si>
    <t xml:space="preserve">Autres dettes   </t>
  </si>
  <si>
    <t>TRESORERIE PASSIF</t>
  </si>
  <si>
    <t>LIQUIDATION DE L'IMPOT A PAYER</t>
  </si>
  <si>
    <r>
      <rPr>
        <b/>
        <sz val="8"/>
        <color indexed="8"/>
        <rFont val="Calibri"/>
        <family val="2"/>
      </rPr>
      <t>Résultat taxable (report de la ligne 64 de la page 2)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Calibri"/>
        <family val="2"/>
      </rPr>
      <t xml:space="preserve"> </t>
    </r>
  </si>
  <si>
    <t xml:space="preserve">Société industrielle  : ligne 114 × 25% ou ligne 115 si  supérieur               </t>
  </si>
  <si>
    <t xml:space="preserve">Autres sociétés :   ligne 114 × 30% ou ligne 115 si  supérieur   </t>
  </si>
  <si>
    <r>
      <rPr>
        <b/>
        <sz val="8"/>
        <color indexed="8"/>
        <rFont val="Calibri"/>
        <family val="2"/>
      </rPr>
      <t>Autres imputations souhaitées</t>
    </r>
    <r>
      <rPr>
        <sz val="8"/>
        <color indexed="8"/>
        <rFont val="Calibri"/>
        <family val="2"/>
      </rPr>
      <t xml:space="preserve"> (il s'agit de l'AIB payé au cordon douanier, ou à l'intérieur auprès   </t>
    </r>
  </si>
  <si>
    <r>
      <rPr>
        <b/>
        <sz val="8"/>
        <color indexed="8"/>
        <rFont val="Calibri"/>
        <family val="2"/>
      </rPr>
      <t xml:space="preserve">SOLDE A PAYER                                                                                                 </t>
    </r>
    <r>
      <rPr>
        <sz val="8"/>
        <color indexed="8"/>
        <rFont val="Times New Roman"/>
        <family val="1"/>
      </rPr>
      <t xml:space="preserve"> </t>
    </r>
    <r>
      <rPr>
        <sz val="8"/>
        <color indexed="8"/>
        <rFont val="Calibri"/>
        <family val="2"/>
      </rPr>
      <t xml:space="preserve"> </t>
    </r>
  </si>
  <si>
    <t>Montant de l'impôt</t>
  </si>
  <si>
    <t>Le 10 Mars</t>
  </si>
  <si>
    <t>Le 10 Juin</t>
  </si>
  <si>
    <t>Le 10 Septembre</t>
  </si>
  <si>
    <t>le 10 décembre</t>
  </si>
  <si>
    <t>Régime du REEL SIMPLIFIE</t>
  </si>
  <si>
    <t>Le 10 Décembre</t>
  </si>
  <si>
    <t xml:space="preserve"> Réel normal </t>
  </si>
  <si>
    <t xml:space="preserve"> Réel simplifié </t>
  </si>
  <si>
    <r>
      <rPr>
        <b/>
        <sz val="8"/>
        <color indexed="8"/>
        <rFont val="Calibri"/>
        <family val="2"/>
      </rPr>
      <t>Les prochains acomptes à payer s’élèveront à :</t>
    </r>
    <r>
      <rPr>
        <sz val="8"/>
        <color indexed="8"/>
        <rFont val="Times New Roman"/>
        <family val="1"/>
      </rPr>
      <t/>
    </r>
  </si>
  <si>
    <t>lignes ( 116 ou 117 ) /2</t>
  </si>
  <si>
    <t>lignes (116 ou 117 ) /4</t>
  </si>
  <si>
    <t xml:space="preserve">• Cette déclaration est une réelle simplification destinée à faciliter vos obligations fiscales. Cependant, la tenue des  </t>
  </si>
  <si>
    <t xml:space="preserve">• Ce document est très important. Remplissez – le avec soin car il vous sera opposable en cas de contrôle. S’il est inexact ou  </t>
  </si>
  <si>
    <t xml:space="preserve">• N’oubliez pas : </t>
  </si>
  <si>
    <t xml:space="preserve">• Votre inspecteur des impôts est à votre disposition pour vous apporter tous les éclaircissements utiles. N’hésitez pas  </t>
  </si>
  <si>
    <t>PAIEMENT</t>
  </si>
  <si>
    <t>N° quittance :</t>
  </si>
  <si>
    <t>Montant payé :</t>
  </si>
  <si>
    <t>Pénalités:</t>
  </si>
  <si>
    <t xml:space="preserve">Motif: </t>
  </si>
  <si>
    <t xml:space="preserve">TOTAL DES FRAIS ET CHARGES (lignes 48 à 54)  </t>
  </si>
  <si>
    <t>Résultat avant impôt : (ligne 35 - (lignes 39 + 43 + 47 + 55) ± (ligne 56)</t>
  </si>
  <si>
    <t>Résultat fiscal (somme algébrique des lignes 57, 58, 59 et 60)</t>
  </si>
  <si>
    <t xml:space="preserve"> - de reporter correctement votre numéro IFU (si vous ne l’avez pas encore adressez-vous aussitôt  à votre inspecteur </t>
  </si>
  <si>
    <t>Déficit</t>
  </si>
  <si>
    <t>Mod 2011 IS</t>
  </si>
  <si>
    <t>Page 3 de 4</t>
  </si>
  <si>
    <t>Page 2 de 4</t>
  </si>
  <si>
    <t>Page 4 de 4</t>
  </si>
  <si>
    <t xml:space="preserve">Banque _____________________ N° chèque </t>
  </si>
  <si>
    <t xml:space="preserve">    Nom, prénom et qualité du signataire  </t>
  </si>
  <si>
    <t xml:space="preserve">    Personnel intérimaire  </t>
  </si>
  <si>
    <t>Acomptes payés en cours d’année :</t>
  </si>
  <si>
    <t xml:space="preserve">    Salariés de l'entreprise</t>
  </si>
  <si>
    <t>Montant des exportations réalisées</t>
  </si>
  <si>
    <t xml:space="preserve"> ou période</t>
  </si>
  <si>
    <t>NET
(c = a + b)</t>
  </si>
  <si>
    <t>Divers</t>
  </si>
  <si>
    <t>(report ligne 122)</t>
  </si>
  <si>
    <t xml:space="preserve">Déductions autorisées (joindre détail)  </t>
  </si>
  <si>
    <r>
      <t xml:space="preserve">Autres produits AO et HAO  hors produits de cession d'immobilisations </t>
    </r>
    <r>
      <rPr>
        <i/>
        <sz val="9"/>
        <color indexed="8"/>
        <rFont val="Calibri"/>
        <family val="2"/>
      </rPr>
      <t xml:space="preserve">(joindre détail)  </t>
    </r>
  </si>
  <si>
    <t xml:space="preserve">Mode de paiement:Espèces                    Chèque                                               Autres </t>
  </si>
  <si>
    <t>Materiel et Mobilier</t>
  </si>
  <si>
    <t xml:space="preserve">Matériel </t>
  </si>
  <si>
    <t xml:space="preserve">Impôt minimum: [lignes 24 à 27+ 30+31+32¹+33] x 1% </t>
  </si>
  <si>
    <t>Rappel d'impôts sur exercices antérieurs</t>
  </si>
  <si>
    <t xml:space="preserve">RESULTAT TAXABLE (somme algébrique des lignes 61, 62 et 63)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</si>
</sst>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sz val="8"/>
      <color indexed="8"/>
      <name val="Arial"/>
      <family val="2"/>
    </font>
    <font>
      <sz val="9"/>
      <color indexed="8"/>
      <name val="Calibri"/>
      <family val="2"/>
    </font>
    <font>
      <sz val="8"/>
      <color indexed="8"/>
      <name val="Times New Roman"/>
      <family val="1"/>
    </font>
    <font>
      <sz val="9"/>
      <color indexed="8"/>
      <name val="Calibri"/>
      <family val="2"/>
    </font>
    <font>
      <b/>
      <sz val="8"/>
      <color indexed="8"/>
      <name val="Calibri"/>
      <family val="2"/>
    </font>
    <font>
      <i/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Times New Roman"/>
      <family val="1"/>
    </font>
    <font>
      <sz val="8"/>
      <color indexed="8"/>
      <name val="Calibri"/>
      <family val="2"/>
    </font>
    <font>
      <b/>
      <sz val="9"/>
      <color indexed="8"/>
      <name val="Calibri"/>
      <family val="2"/>
    </font>
    <font>
      <u/>
      <sz val="9"/>
      <color indexed="8"/>
      <name val="Calibri"/>
      <family val="2"/>
    </font>
    <font>
      <u/>
      <sz val="8"/>
      <color indexed="8"/>
      <name val="Calibri"/>
      <family val="2"/>
    </font>
    <font>
      <u/>
      <sz val="9"/>
      <color indexed="8"/>
      <name val="Calibri"/>
      <family val="2"/>
    </font>
    <font>
      <b/>
      <u/>
      <sz val="9"/>
      <color indexed="8"/>
      <name val="Calibri"/>
      <family val="2"/>
    </font>
    <font>
      <sz val="7"/>
      <color indexed="8"/>
      <name val="Calibri"/>
      <family val="2"/>
    </font>
    <font>
      <b/>
      <i/>
      <sz val="8"/>
      <color indexed="8"/>
      <name val="Calibri"/>
      <family val="2"/>
    </font>
    <font>
      <b/>
      <sz val="8"/>
      <color indexed="8"/>
      <name val="Calibri"/>
      <family val="2"/>
    </font>
    <font>
      <b/>
      <u/>
      <sz val="8"/>
      <color indexed="8"/>
      <name val="Calibri"/>
      <family val="2"/>
    </font>
    <font>
      <b/>
      <sz val="11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  <font>
      <b/>
      <sz val="8"/>
      <color indexed="8"/>
      <name val="Calibri"/>
    </font>
    <font>
      <b/>
      <sz val="12"/>
      <color indexed="8"/>
      <name val="Calibri"/>
    </font>
    <font>
      <b/>
      <sz val="9"/>
      <color indexed="8"/>
      <name val="Calibri"/>
    </font>
    <font>
      <b/>
      <u/>
      <sz val="8"/>
      <color indexed="8"/>
      <name val="Calibri"/>
    </font>
    <font>
      <sz val="9"/>
      <color indexed="8"/>
      <name val="Calibri"/>
    </font>
    <font>
      <b/>
      <sz val="9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22" fillId="0" borderId="0" xfId="0" applyFont="1"/>
    <xf numFmtId="0" fontId="5" fillId="2" borderId="4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 readingOrder="1"/>
    </xf>
    <xf numFmtId="0" fontId="5" fillId="2" borderId="5" xfId="0" applyFont="1" applyFill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3" fontId="3" fillId="0" borderId="0" xfId="0" applyNumberFormat="1" applyFont="1" applyAlignment="1">
      <alignment horizontal="left" vertical="center" readingOrder="1"/>
    </xf>
    <xf numFmtId="3" fontId="5" fillId="0" borderId="0" xfId="0" applyNumberFormat="1" applyFont="1" applyAlignment="1">
      <alignment vertical="center"/>
    </xf>
    <xf numFmtId="3" fontId="5" fillId="0" borderId="6" xfId="0" applyNumberFormat="1" applyFont="1" applyBorder="1" applyAlignment="1">
      <alignment vertical="center" wrapText="1"/>
    </xf>
    <xf numFmtId="3" fontId="8" fillId="0" borderId="0" xfId="0" applyNumberFormat="1" applyFont="1" applyAlignment="1">
      <alignment horizontal="left" vertical="center" readingOrder="1"/>
    </xf>
    <xf numFmtId="3" fontId="11" fillId="0" borderId="6" xfId="0" applyNumberFormat="1" applyFont="1" applyBorder="1" applyAlignment="1">
      <alignment vertical="center"/>
    </xf>
    <xf numFmtId="3" fontId="11" fillId="0" borderId="0" xfId="0" applyNumberFormat="1" applyFont="1" applyAlignment="1">
      <alignment vertical="center"/>
    </xf>
    <xf numFmtId="3" fontId="11" fillId="0" borderId="6" xfId="0" applyNumberFormat="1" applyFont="1" applyBorder="1" applyAlignment="1">
      <alignment vertical="center" wrapText="1"/>
    </xf>
    <xf numFmtId="3" fontId="11" fillId="0" borderId="7" xfId="0" applyNumberFormat="1" applyFont="1" applyBorder="1" applyAlignment="1">
      <alignment vertical="center"/>
    </xf>
    <xf numFmtId="3" fontId="3" fillId="0" borderId="8" xfId="0" applyNumberFormat="1" applyFont="1" applyBorder="1" applyAlignment="1">
      <alignment horizontal="left" vertical="center" readingOrder="1"/>
    </xf>
    <xf numFmtId="3" fontId="5" fillId="0" borderId="8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horizontal="center" vertical="center"/>
    </xf>
    <xf numFmtId="3" fontId="0" fillId="0" borderId="0" xfId="0" applyNumberFormat="1"/>
    <xf numFmtId="3" fontId="21" fillId="0" borderId="0" xfId="0" applyNumberFormat="1" applyFont="1"/>
    <xf numFmtId="3" fontId="11" fillId="2" borderId="10" xfId="0" applyNumberFormat="1" applyFont="1" applyFill="1" applyBorder="1" applyAlignment="1">
      <alignment vertical="center"/>
    </xf>
    <xf numFmtId="3" fontId="5" fillId="0" borderId="11" xfId="0" applyNumberFormat="1" applyFont="1" applyBorder="1" applyAlignment="1">
      <alignment vertical="center"/>
    </xf>
    <xf numFmtId="3" fontId="3" fillId="0" borderId="12" xfId="0" applyNumberFormat="1" applyFont="1" applyBorder="1" applyAlignment="1">
      <alignment horizontal="left" vertical="center" wrapText="1" readingOrder="1"/>
    </xf>
    <xf numFmtId="3" fontId="3" fillId="0" borderId="12" xfId="0" applyNumberFormat="1" applyFont="1" applyBorder="1" applyAlignment="1">
      <alignment horizontal="center" vertical="center" wrapText="1" readingOrder="1"/>
    </xf>
    <xf numFmtId="3" fontId="5" fillId="0" borderId="12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10" fillId="0" borderId="14" xfId="0" applyNumberFormat="1" applyFont="1" applyBorder="1" applyAlignment="1">
      <alignment vertical="center"/>
    </xf>
    <xf numFmtId="3" fontId="19" fillId="0" borderId="15" xfId="0" applyNumberFormat="1" applyFont="1" applyBorder="1" applyAlignment="1">
      <alignment horizontal="center" vertical="center" wrapText="1" readingOrder="1"/>
    </xf>
    <xf numFmtId="3" fontId="10" fillId="0" borderId="15" xfId="0" applyNumberFormat="1" applyFont="1" applyBorder="1" applyAlignment="1">
      <alignment vertical="center"/>
    </xf>
    <xf numFmtId="3" fontId="10" fillId="0" borderId="16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left" vertical="center" wrapText="1" readingOrder="1"/>
    </xf>
    <xf numFmtId="3" fontId="10" fillId="0" borderId="6" xfId="0" applyNumberFormat="1" applyFont="1" applyBorder="1" applyAlignment="1">
      <alignment horizontal="center" vertical="center"/>
    </xf>
    <xf numFmtId="3" fontId="13" fillId="0" borderId="16" xfId="0" applyNumberFormat="1" applyFont="1" applyBorder="1" applyAlignment="1">
      <alignment horizontal="center" vertical="center"/>
    </xf>
    <xf numFmtId="3" fontId="19" fillId="0" borderId="6" xfId="0" applyNumberFormat="1" applyFont="1" applyBorder="1" applyAlignment="1">
      <alignment horizontal="left" vertical="center" wrapText="1" readingOrder="1"/>
    </xf>
    <xf numFmtId="3" fontId="6" fillId="0" borderId="16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20" fillId="0" borderId="0" xfId="0" applyNumberFormat="1" applyFont="1"/>
    <xf numFmtId="3" fontId="10" fillId="0" borderId="17" xfId="0" applyNumberFormat="1" applyFont="1" applyBorder="1" applyAlignment="1">
      <alignment horizontal="center" vertical="center"/>
    </xf>
    <xf numFmtId="3" fontId="1" fillId="0" borderId="18" xfId="0" applyNumberFormat="1" applyFont="1" applyBorder="1" applyAlignment="1">
      <alignment horizontal="left" vertical="center" wrapText="1" readingOrder="1"/>
    </xf>
    <xf numFmtId="3" fontId="10" fillId="0" borderId="18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/>
    </xf>
    <xf numFmtId="3" fontId="1" fillId="2" borderId="20" xfId="0" applyNumberFormat="1" applyFont="1" applyFill="1" applyBorder="1" applyAlignment="1">
      <alignment horizontal="left" vertical="center" wrapText="1" readingOrder="1"/>
    </xf>
    <xf numFmtId="3" fontId="10" fillId="2" borderId="20" xfId="0" applyNumberFormat="1" applyFont="1" applyFill="1" applyBorder="1" applyAlignment="1">
      <alignment vertical="center"/>
    </xf>
    <xf numFmtId="3" fontId="10" fillId="2" borderId="20" xfId="0" applyNumberFormat="1" applyFont="1" applyFill="1" applyBorder="1" applyAlignment="1">
      <alignment horizontal="center" vertical="center"/>
    </xf>
    <xf numFmtId="3" fontId="10" fillId="0" borderId="2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 readingOrder="1"/>
    </xf>
    <xf numFmtId="3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 readingOrder="1"/>
    </xf>
    <xf numFmtId="3" fontId="23" fillId="0" borderId="0" xfId="0" applyNumberFormat="1" applyFont="1" applyAlignment="1">
      <alignment horizontal="left" vertical="center" readingOrder="1"/>
    </xf>
    <xf numFmtId="3" fontId="17" fillId="0" borderId="0" xfId="0" applyNumberFormat="1" applyFont="1" applyAlignment="1">
      <alignment horizontal="left" vertical="center" readingOrder="1"/>
    </xf>
    <xf numFmtId="3" fontId="18" fillId="0" borderId="0" xfId="0" applyNumberFormat="1" applyFont="1" applyAlignment="1">
      <alignment vertical="center"/>
    </xf>
    <xf numFmtId="3" fontId="10" fillId="0" borderId="22" xfId="0" applyNumberFormat="1" applyFont="1" applyBorder="1" applyAlignment="1">
      <alignment horizontal="center" vertical="center"/>
    </xf>
    <xf numFmtId="3" fontId="6" fillId="0" borderId="23" xfId="0" applyNumberFormat="1" applyFont="1" applyBorder="1" applyAlignment="1">
      <alignment horizontal="left" vertical="center" readingOrder="1"/>
    </xf>
    <xf numFmtId="3" fontId="10" fillId="0" borderId="23" xfId="0" applyNumberFormat="1" applyFont="1" applyBorder="1" applyAlignment="1">
      <alignment vertical="center"/>
    </xf>
    <xf numFmtId="3" fontId="18" fillId="0" borderId="23" xfId="0" applyNumberFormat="1" applyFont="1" applyBorder="1" applyAlignment="1">
      <alignment vertical="center"/>
    </xf>
    <xf numFmtId="3" fontId="10" fillId="0" borderId="23" xfId="0" applyNumberFormat="1" applyFont="1" applyBorder="1" applyAlignment="1">
      <alignment horizontal="center" vertical="center"/>
    </xf>
    <xf numFmtId="3" fontId="1" fillId="0" borderId="23" xfId="0" applyNumberFormat="1" applyFont="1" applyBorder="1" applyAlignment="1">
      <alignment horizontal="center" vertical="center" readingOrder="1"/>
    </xf>
    <xf numFmtId="3" fontId="16" fillId="0" borderId="0" xfId="0" applyNumberFormat="1" applyFont="1" applyAlignment="1">
      <alignment horizontal="left" readingOrder="1"/>
    </xf>
    <xf numFmtId="3" fontId="6" fillId="0" borderId="0" xfId="0" applyNumberFormat="1" applyFont="1" applyAlignment="1">
      <alignment horizontal="left" vertical="center" readingOrder="1"/>
    </xf>
    <xf numFmtId="3" fontId="5" fillId="0" borderId="24" xfId="0" applyNumberFormat="1" applyFont="1" applyBorder="1" applyAlignment="1">
      <alignment vertical="center"/>
    </xf>
    <xf numFmtId="3" fontId="1" fillId="0" borderId="0" xfId="0" applyNumberFormat="1" applyFont="1" applyAlignment="1">
      <alignment horizontal="left" readingOrder="1"/>
    </xf>
    <xf numFmtId="3" fontId="5" fillId="0" borderId="25" xfId="0" applyNumberFormat="1" applyFont="1" applyBorder="1" applyAlignment="1">
      <alignment vertical="center"/>
    </xf>
    <xf numFmtId="3" fontId="5" fillId="0" borderId="26" xfId="0" applyNumberFormat="1" applyFont="1" applyBorder="1" applyAlignment="1">
      <alignment vertical="center"/>
    </xf>
    <xf numFmtId="3" fontId="15" fillId="0" borderId="27" xfId="0" applyNumberFormat="1" applyFont="1" applyBorder="1" applyAlignment="1">
      <alignment horizontal="left" vertical="center" readingOrder="1"/>
    </xf>
    <xf numFmtId="3" fontId="5" fillId="0" borderId="27" xfId="0" applyNumberFormat="1" applyFont="1" applyBorder="1" applyAlignment="1">
      <alignment vertical="center"/>
    </xf>
    <xf numFmtId="3" fontId="5" fillId="0" borderId="28" xfId="0" applyNumberFormat="1" applyFont="1" applyBorder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1" fillId="0" borderId="29" xfId="0" applyNumberFormat="1" applyFont="1" applyBorder="1" applyAlignment="1">
      <alignment horizontal="left" readingOrder="1"/>
    </xf>
    <xf numFmtId="3" fontId="10" fillId="0" borderId="7" xfId="0" applyNumberFormat="1" applyFont="1" applyBorder="1" applyAlignment="1">
      <alignment vertical="center"/>
    </xf>
    <xf numFmtId="3" fontId="10" fillId="0" borderId="0" xfId="0" applyNumberFormat="1" applyFont="1" applyAlignment="1">
      <alignment horizontal="right"/>
    </xf>
    <xf numFmtId="3" fontId="10" fillId="0" borderId="8" xfId="0" applyNumberFormat="1" applyFont="1" applyBorder="1" applyAlignment="1">
      <alignment horizontal="left" vertical="center"/>
    </xf>
    <xf numFmtId="3" fontId="1" fillId="0" borderId="30" xfId="0" applyNumberFormat="1" applyFont="1" applyBorder="1" applyAlignment="1">
      <alignment horizontal="left" readingOrder="1"/>
    </xf>
    <xf numFmtId="3" fontId="10" fillId="0" borderId="31" xfId="0" applyNumberFormat="1" applyFont="1" applyBorder="1" applyAlignment="1">
      <alignment vertical="center"/>
    </xf>
    <xf numFmtId="3" fontId="10" fillId="0" borderId="32" xfId="0" applyNumberFormat="1" applyFont="1" applyBorder="1" applyAlignment="1">
      <alignment vertical="center"/>
    </xf>
    <xf numFmtId="3" fontId="10" fillId="0" borderId="33" xfId="0" applyNumberFormat="1" applyFont="1" applyBorder="1" applyAlignment="1">
      <alignment vertical="center"/>
    </xf>
    <xf numFmtId="3" fontId="7" fillId="0" borderId="0" xfId="0" applyNumberFormat="1" applyFont="1" applyAlignment="1">
      <alignment horizontal="left" vertical="center" readingOrder="1"/>
    </xf>
    <xf numFmtId="3" fontId="5" fillId="0" borderId="12" xfId="0" applyNumberFormat="1" applyFont="1" applyBorder="1" applyAlignment="1">
      <alignment vertical="center"/>
    </xf>
    <xf numFmtId="3" fontId="8" fillId="0" borderId="0" xfId="0" applyNumberFormat="1" applyFont="1" applyAlignment="1">
      <alignment horizontal="right" vertical="center" readingOrder="1"/>
    </xf>
    <xf numFmtId="3" fontId="5" fillId="2" borderId="34" xfId="0" applyNumberFormat="1" applyFont="1" applyFill="1" applyBorder="1" applyAlignment="1">
      <alignment vertical="center"/>
    </xf>
    <xf numFmtId="3" fontId="8" fillId="2" borderId="35" xfId="0" applyNumberFormat="1" applyFont="1" applyFill="1" applyBorder="1" applyAlignment="1">
      <alignment horizontal="left" vertical="center" readingOrder="1"/>
    </xf>
    <xf numFmtId="3" fontId="3" fillId="2" borderId="35" xfId="0" applyNumberFormat="1" applyFont="1" applyFill="1" applyBorder="1" applyAlignment="1">
      <alignment horizontal="left" vertical="center" readingOrder="1"/>
    </xf>
    <xf numFmtId="3" fontId="5" fillId="2" borderId="35" xfId="0" applyNumberFormat="1" applyFont="1" applyFill="1" applyBorder="1" applyAlignment="1">
      <alignment vertical="center"/>
    </xf>
    <xf numFmtId="3" fontId="5" fillId="2" borderId="36" xfId="0" applyNumberFormat="1" applyFont="1" applyFill="1" applyBorder="1" applyAlignment="1">
      <alignment vertical="center"/>
    </xf>
    <xf numFmtId="3" fontId="5" fillId="0" borderId="21" xfId="0" applyNumberFormat="1" applyFont="1" applyBorder="1" applyAlignment="1">
      <alignment horizontal="center" vertical="center"/>
    </xf>
    <xf numFmtId="3" fontId="5" fillId="0" borderId="37" xfId="0" applyNumberFormat="1" applyFont="1" applyBorder="1" applyAlignment="1">
      <alignment vertical="center"/>
    </xf>
    <xf numFmtId="3" fontId="5" fillId="0" borderId="0" xfId="0" applyNumberFormat="1" applyFont="1" applyAlignment="1">
      <alignment horizontal="left" vertical="center" readingOrder="1"/>
    </xf>
    <xf numFmtId="3" fontId="5" fillId="0" borderId="0" xfId="0" applyNumberFormat="1" applyFont="1" applyAlignment="1">
      <alignment horizontal="left" vertical="center"/>
    </xf>
    <xf numFmtId="3" fontId="5" fillId="0" borderId="38" xfId="0" applyNumberFormat="1" applyFont="1" applyBorder="1" applyAlignment="1">
      <alignment vertical="center"/>
    </xf>
    <xf numFmtId="3" fontId="5" fillId="0" borderId="39" xfId="0" applyNumberFormat="1" applyFont="1" applyBorder="1" applyAlignment="1">
      <alignment vertical="center"/>
    </xf>
    <xf numFmtId="3" fontId="5" fillId="0" borderId="8" xfId="0" applyNumberFormat="1" applyFont="1" applyBorder="1" applyAlignment="1">
      <alignment horizontal="right" vertical="center"/>
    </xf>
    <xf numFmtId="3" fontId="5" fillId="0" borderId="39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left" vertical="center" readingOrder="1"/>
    </xf>
    <xf numFmtId="3" fontId="5" fillId="0" borderId="9" xfId="0" applyNumberFormat="1" applyFont="1" applyBorder="1" applyAlignment="1">
      <alignment vertical="center"/>
    </xf>
    <xf numFmtId="3" fontId="5" fillId="0" borderId="37" xfId="0" applyNumberFormat="1" applyFont="1" applyBorder="1" applyAlignment="1">
      <alignment horizontal="center" vertical="center"/>
    </xf>
    <xf numFmtId="3" fontId="8" fillId="0" borderId="0" xfId="0" applyNumberFormat="1" applyFont="1" applyAlignment="1">
      <alignment vertical="center" readingOrder="1"/>
    </xf>
    <xf numFmtId="3" fontId="5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left" vertical="center" readingOrder="1"/>
    </xf>
    <xf numFmtId="3" fontId="5" fillId="0" borderId="23" xfId="0" applyNumberFormat="1" applyFont="1" applyBorder="1" applyAlignment="1">
      <alignment vertical="center"/>
    </xf>
    <xf numFmtId="3" fontId="5" fillId="0" borderId="40" xfId="0" applyNumberFormat="1" applyFont="1" applyBorder="1" applyAlignment="1">
      <alignment vertical="center"/>
    </xf>
    <xf numFmtId="3" fontId="5" fillId="2" borderId="41" xfId="0" applyNumberFormat="1" applyFont="1" applyFill="1" applyBorder="1" applyAlignment="1">
      <alignment vertical="center"/>
    </xf>
    <xf numFmtId="3" fontId="8" fillId="2" borderId="42" xfId="0" applyNumberFormat="1" applyFont="1" applyFill="1" applyBorder="1" applyAlignment="1">
      <alignment horizontal="left" vertical="center" readingOrder="1"/>
    </xf>
    <xf numFmtId="3" fontId="5" fillId="2" borderId="42" xfId="0" applyNumberFormat="1" applyFont="1" applyFill="1" applyBorder="1" applyAlignment="1">
      <alignment vertical="center"/>
    </xf>
    <xf numFmtId="3" fontId="5" fillId="2" borderId="43" xfId="0" applyNumberFormat="1" applyFont="1" applyFill="1" applyBorder="1" applyAlignment="1">
      <alignment vertical="center"/>
    </xf>
    <xf numFmtId="3" fontId="5" fillId="0" borderId="29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left" vertical="center" readingOrder="1"/>
    </xf>
    <xf numFmtId="3" fontId="5" fillId="0" borderId="30" xfId="0" applyNumberFormat="1" applyFont="1" applyBorder="1" applyAlignment="1">
      <alignment vertical="center"/>
    </xf>
    <xf numFmtId="3" fontId="3" fillId="0" borderId="31" xfId="0" applyNumberFormat="1" applyFont="1" applyBorder="1" applyAlignment="1">
      <alignment horizontal="left" vertical="center" readingOrder="1"/>
    </xf>
    <xf numFmtId="3" fontId="5" fillId="0" borderId="31" xfId="0" applyNumberFormat="1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left" vertical="center" wrapText="1" readingOrder="1"/>
    </xf>
    <xf numFmtId="3" fontId="28" fillId="0" borderId="0" xfId="0" applyNumberFormat="1" applyFont="1" applyAlignment="1">
      <alignment horizontal="left" vertical="center" readingOrder="1"/>
    </xf>
    <xf numFmtId="3" fontId="1" fillId="0" borderId="6" xfId="0" applyNumberFormat="1" applyFont="1" applyBorder="1" applyAlignment="1">
      <alignment horizontal="left" vertical="center" shrinkToFit="1" readingOrder="1"/>
    </xf>
    <xf numFmtId="3" fontId="10" fillId="0" borderId="6" xfId="0" applyNumberFormat="1" applyFont="1" applyBorder="1" applyAlignment="1">
      <alignment horizontal="right" vertical="center" indent="1"/>
    </xf>
    <xf numFmtId="3" fontId="13" fillId="0" borderId="18" xfId="0" applyNumberFormat="1" applyFont="1" applyBorder="1" applyAlignment="1">
      <alignment horizontal="right" vertical="center" indent="1"/>
    </xf>
    <xf numFmtId="3" fontId="10" fillId="0" borderId="12" xfId="0" applyNumberFormat="1" applyFont="1" applyBorder="1" applyAlignment="1">
      <alignment horizontal="right" vertical="center" indent="1"/>
    </xf>
    <xf numFmtId="3" fontId="6" fillId="0" borderId="12" xfId="0" applyNumberFormat="1" applyFont="1" applyBorder="1" applyAlignment="1">
      <alignment horizontal="right" vertical="center" indent="1"/>
    </xf>
    <xf numFmtId="3" fontId="10" fillId="0" borderId="18" xfId="0" applyNumberFormat="1" applyFont="1" applyBorder="1" applyAlignment="1">
      <alignment horizontal="right" vertical="center" indent="1"/>
    </xf>
    <xf numFmtId="3" fontId="10" fillId="0" borderId="13" xfId="0" applyNumberFormat="1" applyFont="1" applyBorder="1" applyAlignment="1">
      <alignment horizontal="right" vertical="center" indent="1"/>
    </xf>
    <xf numFmtId="3" fontId="1" fillId="0" borderId="13" xfId="0" applyNumberFormat="1" applyFont="1" applyBorder="1" applyAlignment="1">
      <alignment horizontal="right" vertical="center" indent="1"/>
    </xf>
    <xf numFmtId="3" fontId="6" fillId="0" borderId="13" xfId="0" applyNumberFormat="1" applyFont="1" applyBorder="1" applyAlignment="1">
      <alignment horizontal="right" vertical="center" indent="1"/>
    </xf>
    <xf numFmtId="3" fontId="10" fillId="0" borderId="44" xfId="0" applyNumberFormat="1" applyFont="1" applyBorder="1" applyAlignment="1">
      <alignment horizontal="right" vertical="center" indent="1"/>
    </xf>
    <xf numFmtId="3" fontId="10" fillId="0" borderId="45" xfId="0" applyNumberFormat="1" applyFont="1" applyBorder="1" applyAlignment="1">
      <alignment horizontal="right" vertical="center" indent="1"/>
    </xf>
    <xf numFmtId="3" fontId="10" fillId="0" borderId="46" xfId="0" applyNumberFormat="1" applyFont="1" applyBorder="1" applyAlignment="1">
      <alignment horizontal="right" vertical="center" indent="1"/>
    </xf>
    <xf numFmtId="3" fontId="10" fillId="2" borderId="47" xfId="0" applyNumberFormat="1" applyFont="1" applyFill="1" applyBorder="1" applyAlignment="1">
      <alignment horizontal="right" vertical="center" indent="1"/>
    </xf>
    <xf numFmtId="3" fontId="24" fillId="0" borderId="55" xfId="0" applyNumberFormat="1" applyFont="1" applyBorder="1" applyAlignment="1">
      <alignment horizontal="center" vertical="center"/>
    </xf>
    <xf numFmtId="3" fontId="24" fillId="0" borderId="8" xfId="0" applyNumberFormat="1" applyFont="1" applyBorder="1" applyAlignment="1">
      <alignment horizontal="center" vertical="center"/>
    </xf>
    <xf numFmtId="3" fontId="24" fillId="0" borderId="56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left" vertical="center"/>
    </xf>
    <xf numFmtId="3" fontId="25" fillId="0" borderId="57" xfId="0" applyNumberFormat="1" applyFont="1" applyBorder="1" applyAlignment="1">
      <alignment horizontal="left" vertical="center"/>
    </xf>
    <xf numFmtId="3" fontId="25" fillId="0" borderId="9" xfId="0" applyNumberFormat="1" applyFont="1" applyBorder="1" applyAlignment="1">
      <alignment horizontal="left" vertical="center"/>
    </xf>
    <xf numFmtId="3" fontId="25" fillId="0" borderId="58" xfId="0" applyNumberFormat="1" applyFont="1" applyBorder="1" applyAlignment="1">
      <alignment horizontal="left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left" vertical="center"/>
    </xf>
    <xf numFmtId="3" fontId="25" fillId="0" borderId="8" xfId="0" applyNumberFormat="1" applyFont="1" applyBorder="1" applyAlignment="1">
      <alignment horizontal="left" vertical="center"/>
    </xf>
    <xf numFmtId="3" fontId="25" fillId="0" borderId="38" xfId="0" applyNumberFormat="1" applyFont="1" applyBorder="1" applyAlignment="1">
      <alignment horizontal="left" vertical="center"/>
    </xf>
    <xf numFmtId="3" fontId="5" fillId="0" borderId="39" xfId="0" applyNumberFormat="1" applyFont="1" applyBorder="1" applyAlignment="1">
      <alignment horizontal="left" vertical="center"/>
    </xf>
    <xf numFmtId="3" fontId="5" fillId="0" borderId="8" xfId="0" applyNumberFormat="1" applyFont="1" applyBorder="1" applyAlignment="1">
      <alignment horizontal="left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38" xfId="0" applyNumberFormat="1" applyFont="1" applyBorder="1" applyAlignment="1">
      <alignment horizontal="center" vertical="center"/>
    </xf>
    <xf numFmtId="3" fontId="5" fillId="0" borderId="39" xfId="0" applyNumberFormat="1" applyFont="1" applyBorder="1" applyAlignment="1">
      <alignment horizontal="center" vertical="center"/>
    </xf>
    <xf numFmtId="3" fontId="25" fillId="0" borderId="48" xfId="0" applyNumberFormat="1" applyFont="1" applyBorder="1" applyAlignment="1">
      <alignment horizontal="right" vertical="center"/>
    </xf>
    <xf numFmtId="3" fontId="25" fillId="0" borderId="9" xfId="0" applyNumberFormat="1" applyFont="1" applyBorder="1" applyAlignment="1">
      <alignment horizontal="right" vertical="center"/>
    </xf>
    <xf numFmtId="3" fontId="25" fillId="0" borderId="49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center" vertical="center" readingOrder="1"/>
    </xf>
    <xf numFmtId="3" fontId="5" fillId="0" borderId="21" xfId="0" applyNumberFormat="1" applyFont="1" applyBorder="1" applyAlignment="1">
      <alignment horizontal="center" vertical="top"/>
    </xf>
    <xf numFmtId="3" fontId="5" fillId="0" borderId="38" xfId="0" applyNumberFormat="1" applyFont="1" applyBorder="1" applyAlignment="1">
      <alignment horizontal="left" vertical="center"/>
    </xf>
    <xf numFmtId="3" fontId="8" fillId="0" borderId="9" xfId="0" applyNumberFormat="1" applyFont="1" applyBorder="1" applyAlignment="1">
      <alignment horizontal="center" vertical="center" readingOrder="1"/>
    </xf>
    <xf numFmtId="3" fontId="8" fillId="0" borderId="39" xfId="0" applyNumberFormat="1" applyFont="1" applyBorder="1" applyAlignment="1">
      <alignment horizontal="center" vertical="center" readingOrder="1"/>
    </xf>
    <xf numFmtId="3" fontId="3" fillId="0" borderId="8" xfId="0" applyNumberFormat="1" applyFont="1" applyBorder="1" applyAlignment="1">
      <alignment horizontal="center" vertical="center" readingOrder="1"/>
    </xf>
    <xf numFmtId="3" fontId="3" fillId="0" borderId="38" xfId="0" applyNumberFormat="1" applyFont="1" applyBorder="1" applyAlignment="1">
      <alignment horizontal="center" vertical="center" readingOrder="1"/>
    </xf>
    <xf numFmtId="3" fontId="5" fillId="0" borderId="29" xfId="0" applyNumberFormat="1" applyFont="1" applyBorder="1" applyAlignment="1">
      <alignment horizontal="center" vertical="center"/>
    </xf>
    <xf numFmtId="3" fontId="5" fillId="0" borderId="50" xfId="0" applyNumberFormat="1" applyFont="1" applyBorder="1" applyAlignment="1">
      <alignment horizontal="center" vertical="center"/>
    </xf>
    <xf numFmtId="3" fontId="5" fillId="0" borderId="51" xfId="0" applyNumberFormat="1" applyFont="1" applyBorder="1" applyAlignment="1">
      <alignment horizontal="left" vertical="center"/>
    </xf>
    <xf numFmtId="3" fontId="5" fillId="0" borderId="52" xfId="0" applyNumberFormat="1" applyFont="1" applyBorder="1" applyAlignment="1">
      <alignment horizontal="left" vertical="center"/>
    </xf>
    <xf numFmtId="3" fontId="5" fillId="0" borderId="53" xfId="0" applyNumberFormat="1" applyFont="1" applyBorder="1" applyAlignment="1">
      <alignment horizontal="left" vertical="center"/>
    </xf>
    <xf numFmtId="3" fontId="5" fillId="0" borderId="54" xfId="0" applyNumberFormat="1" applyFont="1" applyBorder="1" applyAlignment="1">
      <alignment horizontal="center" vertical="center"/>
    </xf>
    <xf numFmtId="3" fontId="5" fillId="0" borderId="48" xfId="0" applyNumberFormat="1" applyFont="1" applyBorder="1" applyAlignment="1">
      <alignment horizontal="left" vertical="center"/>
    </xf>
    <xf numFmtId="3" fontId="5" fillId="0" borderId="49" xfId="0" applyNumberFormat="1" applyFont="1" applyBorder="1" applyAlignment="1">
      <alignment horizontal="left" vertical="center"/>
    </xf>
    <xf numFmtId="3" fontId="5" fillId="0" borderId="57" xfId="0" applyNumberFormat="1" applyFont="1" applyBorder="1" applyAlignment="1">
      <alignment horizontal="center" vertical="center"/>
    </xf>
    <xf numFmtId="3" fontId="5" fillId="0" borderId="4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3" fontId="8" fillId="0" borderId="24" xfId="0" applyNumberFormat="1" applyFont="1" applyBorder="1" applyAlignment="1">
      <alignment horizontal="left" vertical="center" wrapText="1"/>
    </xf>
    <xf numFmtId="3" fontId="0" fillId="0" borderId="0" xfId="0" applyNumberFormat="1" applyAlignment="1">
      <alignment vertical="center" wrapText="1"/>
    </xf>
    <xf numFmtId="3" fontId="0" fillId="0" borderId="25" xfId="0" applyNumberFormat="1" applyBorder="1" applyAlignment="1">
      <alignment vertical="center" wrapText="1"/>
    </xf>
    <xf numFmtId="0" fontId="3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3" fontId="8" fillId="0" borderId="57" xfId="0" applyNumberFormat="1" applyFont="1" applyBorder="1" applyAlignment="1">
      <alignment horizontal="center" vertical="center"/>
    </xf>
    <xf numFmtId="3" fontId="11" fillId="0" borderId="9" xfId="0" applyNumberFormat="1" applyFont="1" applyBorder="1" applyAlignment="1">
      <alignment horizontal="center" vertical="center"/>
    </xf>
    <xf numFmtId="3" fontId="11" fillId="0" borderId="49" xfId="0" applyNumberFormat="1" applyFont="1" applyBorder="1" applyAlignment="1">
      <alignment horizontal="center" vertical="center"/>
    </xf>
    <xf numFmtId="3" fontId="11" fillId="0" borderId="57" xfId="0" applyNumberFormat="1" applyFont="1" applyBorder="1" applyAlignment="1">
      <alignment horizontal="center" vertical="center"/>
    </xf>
    <xf numFmtId="3" fontId="25" fillId="0" borderId="57" xfId="0" applyNumberFormat="1" applyFont="1" applyBorder="1" applyAlignment="1">
      <alignment horizontal="center" vertical="center"/>
    </xf>
    <xf numFmtId="3" fontId="25" fillId="0" borderId="9" xfId="0" applyNumberFormat="1" applyFont="1" applyBorder="1" applyAlignment="1">
      <alignment horizontal="center" vertical="center"/>
    </xf>
    <xf numFmtId="3" fontId="25" fillId="0" borderId="49" xfId="0" applyNumberFormat="1" applyFont="1" applyBorder="1" applyAlignment="1">
      <alignment horizontal="center" vertical="center"/>
    </xf>
    <xf numFmtId="3" fontId="11" fillId="0" borderId="57" xfId="0" applyNumberFormat="1" applyFont="1" applyBorder="1" applyAlignment="1">
      <alignment horizontal="center" vertical="center" wrapText="1"/>
    </xf>
    <xf numFmtId="3" fontId="11" fillId="0" borderId="9" xfId="0" applyNumberFormat="1" applyFont="1" applyBorder="1" applyAlignment="1">
      <alignment horizontal="center" vertical="center" wrapText="1"/>
    </xf>
    <xf numFmtId="3" fontId="11" fillId="0" borderId="49" xfId="0" applyNumberFormat="1" applyFont="1" applyBorder="1" applyAlignment="1">
      <alignment horizontal="center" vertical="center" wrapText="1"/>
    </xf>
    <xf numFmtId="3" fontId="5" fillId="0" borderId="57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 wrapText="1"/>
    </xf>
    <xf numFmtId="3" fontId="5" fillId="0" borderId="49" xfId="0" applyNumberFormat="1" applyFont="1" applyBorder="1" applyAlignment="1">
      <alignment horizontal="center" vertical="center" wrapText="1"/>
    </xf>
    <xf numFmtId="3" fontId="3" fillId="0" borderId="24" xfId="0" applyNumberFormat="1" applyFont="1" applyBorder="1" applyAlignment="1">
      <alignment horizontal="left" vertical="center" wrapText="1"/>
    </xf>
    <xf numFmtId="3" fontId="26" fillId="0" borderId="6" xfId="0" applyNumberFormat="1" applyFont="1" applyBorder="1" applyAlignment="1">
      <alignment horizontal="left" vertical="center" wrapText="1" readingOrder="1"/>
    </xf>
    <xf numFmtId="3" fontId="0" fillId="0" borderId="6" xfId="0" applyNumberFormat="1" applyBorder="1" applyAlignment="1">
      <alignment horizontal="left" vertical="center" wrapText="1"/>
    </xf>
    <xf numFmtId="3" fontId="10" fillId="0" borderId="15" xfId="0" applyNumberFormat="1" applyFont="1" applyBorder="1" applyAlignment="1">
      <alignment horizontal="right" vertical="center" indent="1"/>
    </xf>
    <xf numFmtId="3" fontId="10" fillId="0" borderId="18" xfId="0" applyNumberFormat="1" applyFont="1" applyBorder="1" applyAlignment="1">
      <alignment horizontal="right" vertical="center" indent="1"/>
    </xf>
    <xf numFmtId="3" fontId="10" fillId="0" borderId="26" xfId="0" applyNumberFormat="1" applyFont="1" applyBorder="1" applyAlignment="1">
      <alignment horizontal="right" vertical="center" indent="1"/>
    </xf>
    <xf numFmtId="3" fontId="10" fillId="0" borderId="27" xfId="0" applyNumberFormat="1" applyFont="1" applyBorder="1" applyAlignment="1">
      <alignment horizontal="right" vertical="center" indent="1"/>
    </xf>
    <xf numFmtId="3" fontId="10" fillId="0" borderId="28" xfId="0" applyNumberFormat="1" applyFont="1" applyBorder="1" applyAlignment="1">
      <alignment horizontal="right" vertical="center" indent="1"/>
    </xf>
    <xf numFmtId="3" fontId="0" fillId="0" borderId="55" xfId="0" applyNumberFormat="1" applyBorder="1" applyAlignment="1">
      <alignment horizontal="right" vertical="center" indent="1"/>
    </xf>
    <xf numFmtId="3" fontId="0" fillId="0" borderId="8" xfId="0" applyNumberFormat="1" applyBorder="1" applyAlignment="1">
      <alignment horizontal="right" vertical="center" indent="1"/>
    </xf>
    <xf numFmtId="3" fontId="0" fillId="0" borderId="56" xfId="0" applyNumberFormat="1" applyBorder="1" applyAlignment="1">
      <alignment horizontal="right" vertical="center" indent="1"/>
    </xf>
    <xf numFmtId="3" fontId="10" fillId="0" borderId="55" xfId="0" applyNumberFormat="1" applyFont="1" applyBorder="1" applyAlignment="1">
      <alignment horizontal="right" vertical="center" indent="1"/>
    </xf>
    <xf numFmtId="3" fontId="10" fillId="0" borderId="12" xfId="0" applyNumberFormat="1" applyFont="1" applyBorder="1" applyAlignment="1">
      <alignment horizontal="right" vertical="center" indent="1"/>
    </xf>
    <xf numFmtId="3" fontId="10" fillId="0" borderId="44" xfId="0" applyNumberFormat="1" applyFont="1" applyBorder="1" applyAlignment="1">
      <alignment horizontal="right" vertical="center" indent="1"/>
    </xf>
    <xf numFmtId="3" fontId="10" fillId="0" borderId="46" xfId="0" applyNumberFormat="1" applyFont="1" applyBorder="1" applyAlignment="1">
      <alignment horizontal="right" vertical="center" indent="1"/>
    </xf>
    <xf numFmtId="3" fontId="1" fillId="0" borderId="6" xfId="0" applyNumberFormat="1" applyFont="1" applyBorder="1" applyAlignment="1">
      <alignment vertical="center" wrapText="1" readingOrder="1"/>
    </xf>
    <xf numFmtId="3" fontId="1" fillId="0" borderId="24" xfId="0" applyNumberFormat="1" applyFont="1" applyBorder="1" applyAlignment="1">
      <alignment vertical="center" wrapText="1" readingOrder="1"/>
    </xf>
    <xf numFmtId="3" fontId="1" fillId="0" borderId="0" xfId="0" applyNumberFormat="1" applyFont="1" applyAlignment="1">
      <alignment vertical="center" wrapText="1" readingOrder="1"/>
    </xf>
    <xf numFmtId="3" fontId="1" fillId="0" borderId="25" xfId="0" applyNumberFormat="1" applyFont="1" applyBorder="1" applyAlignment="1">
      <alignment vertical="center" wrapText="1" readingOrder="1"/>
    </xf>
    <xf numFmtId="3" fontId="21" fillId="0" borderId="42" xfId="0" applyNumberFormat="1" applyFont="1" applyBorder="1" applyAlignment="1">
      <alignment horizontal="center"/>
    </xf>
    <xf numFmtId="3" fontId="10" fillId="2" borderId="61" xfId="0" applyNumberFormat="1" applyFont="1" applyFill="1" applyBorder="1" applyAlignment="1">
      <alignment horizontal="right" vertical="center" indent="1"/>
    </xf>
    <xf numFmtId="3" fontId="10" fillId="2" borderId="52" xfId="0" applyNumberFormat="1" applyFont="1" applyFill="1" applyBorder="1" applyAlignment="1">
      <alignment horizontal="right" vertical="center" indent="1"/>
    </xf>
    <xf numFmtId="3" fontId="10" fillId="2" borderId="62" xfId="0" applyNumberFormat="1" applyFont="1" applyFill="1" applyBorder="1" applyAlignment="1">
      <alignment horizontal="right" vertical="center" indent="1"/>
    </xf>
    <xf numFmtId="3" fontId="1" fillId="2" borderId="20" xfId="0" applyNumberFormat="1" applyFont="1" applyFill="1" applyBorder="1" applyAlignment="1">
      <alignment horizontal="center" vertical="center" readingOrder="1"/>
    </xf>
    <xf numFmtId="3" fontId="1" fillId="0" borderId="55" xfId="0" applyNumberFormat="1" applyFont="1" applyBorder="1" applyAlignment="1">
      <alignment vertical="center" readingOrder="1"/>
    </xf>
    <xf numFmtId="3" fontId="1" fillId="0" borderId="8" xfId="0" applyNumberFormat="1" applyFont="1" applyBorder="1" applyAlignment="1">
      <alignment vertical="center" readingOrder="1"/>
    </xf>
    <xf numFmtId="3" fontId="1" fillId="0" borderId="56" xfId="0" applyNumberFormat="1" applyFont="1" applyBorder="1" applyAlignment="1">
      <alignment vertical="center" readingOrder="1"/>
    </xf>
    <xf numFmtId="3" fontId="6" fillId="0" borderId="12" xfId="0" applyNumberFormat="1" applyFont="1" applyBorder="1" applyAlignment="1">
      <alignment horizontal="right" vertical="center" indent="1"/>
    </xf>
    <xf numFmtId="3" fontId="19" fillId="0" borderId="6" xfId="0" applyNumberFormat="1" applyFont="1" applyBorder="1" applyAlignment="1">
      <alignment vertical="center" wrapText="1" readingOrder="1"/>
    </xf>
    <xf numFmtId="3" fontId="26" fillId="0" borderId="6" xfId="0" applyNumberFormat="1" applyFont="1" applyBorder="1" applyAlignment="1">
      <alignment vertical="center" wrapText="1" readingOrder="1"/>
    </xf>
    <xf numFmtId="3" fontId="23" fillId="0" borderId="6" xfId="0" applyNumberFormat="1" applyFont="1" applyBorder="1" applyAlignment="1">
      <alignment vertical="center" wrapText="1" readingOrder="1"/>
    </xf>
    <xf numFmtId="3" fontId="19" fillId="0" borderId="6" xfId="0" applyNumberFormat="1" applyFont="1" applyBorder="1" applyAlignment="1">
      <alignment horizontal="center" vertical="center" wrapText="1" readingOrder="1"/>
    </xf>
    <xf numFmtId="3" fontId="1" fillId="0" borderId="24" xfId="0" applyNumberFormat="1" applyFont="1" applyBorder="1" applyAlignment="1">
      <alignment vertical="center" shrinkToFit="1" readingOrder="1"/>
    </xf>
    <xf numFmtId="3" fontId="1" fillId="0" borderId="0" xfId="0" applyNumberFormat="1" applyFont="1" applyAlignment="1">
      <alignment vertical="center" shrinkToFit="1" readingOrder="1"/>
    </xf>
    <xf numFmtId="3" fontId="1" fillId="0" borderId="25" xfId="0" applyNumberFormat="1" applyFont="1" applyBorder="1" applyAlignment="1">
      <alignment vertical="center" shrinkToFit="1" readingOrder="1"/>
    </xf>
    <xf numFmtId="3" fontId="10" fillId="2" borderId="6" xfId="0" applyNumberFormat="1" applyFont="1" applyFill="1" applyBorder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/>
    </xf>
    <xf numFmtId="3" fontId="10" fillId="0" borderId="6" xfId="0" applyNumberFormat="1" applyFont="1" applyBorder="1" applyAlignment="1">
      <alignment vertical="center" wrapText="1"/>
    </xf>
    <xf numFmtId="3" fontId="10" fillId="0" borderId="6" xfId="0" applyNumberFormat="1" applyFont="1" applyBorder="1" applyAlignment="1">
      <alignment horizontal="right" vertical="center" indent="1"/>
    </xf>
    <xf numFmtId="3" fontId="13" fillId="0" borderId="18" xfId="0" applyNumberFormat="1" applyFont="1" applyBorder="1" applyAlignment="1">
      <alignment horizontal="right" vertical="center" indent="1"/>
    </xf>
    <xf numFmtId="3" fontId="8" fillId="0" borderId="0" xfId="0" applyNumberFormat="1" applyFont="1" applyAlignment="1">
      <alignment horizontal="center" vertical="center" readingOrder="1"/>
    </xf>
    <xf numFmtId="3" fontId="8" fillId="2" borderId="59" xfId="0" applyNumberFormat="1" applyFont="1" applyFill="1" applyBorder="1" applyAlignment="1">
      <alignment horizontal="center" vertical="center" readingOrder="1"/>
    </xf>
    <xf numFmtId="3" fontId="8" fillId="2" borderId="10" xfId="0" applyNumberFormat="1" applyFont="1" applyFill="1" applyBorder="1" applyAlignment="1">
      <alignment horizontal="center" vertical="center" readingOrder="1"/>
    </xf>
    <xf numFmtId="3" fontId="11" fillId="2" borderId="10" xfId="0" applyNumberFormat="1" applyFont="1" applyFill="1" applyBorder="1" applyAlignment="1">
      <alignment horizontal="center" vertical="center"/>
    </xf>
    <xf numFmtId="3" fontId="11" fillId="2" borderId="60" xfId="0" applyNumberFormat="1" applyFont="1" applyFill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 wrapText="1"/>
    </xf>
    <xf numFmtId="3" fontId="10" fillId="0" borderId="12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 wrapText="1"/>
    </xf>
    <xf numFmtId="3" fontId="5" fillId="0" borderId="12" xfId="0" applyNumberFormat="1" applyFont="1" applyBorder="1" applyAlignment="1">
      <alignment horizontal="center" vertical="center"/>
    </xf>
    <xf numFmtId="3" fontId="10" fillId="0" borderId="15" xfId="0" applyNumberFormat="1" applyFont="1" applyBorder="1" applyAlignment="1">
      <alignment horizontal="center" vertical="center"/>
    </xf>
    <xf numFmtId="3" fontId="19" fillId="0" borderId="15" xfId="0" applyNumberFormat="1" applyFont="1" applyBorder="1" applyAlignment="1">
      <alignment horizontal="center" vertical="center" wrapText="1"/>
    </xf>
    <xf numFmtId="3" fontId="21" fillId="0" borderId="0" xfId="0" applyNumberFormat="1" applyFont="1" applyAlignment="1">
      <alignment horizontal="center"/>
    </xf>
    <xf numFmtId="3" fontId="10" fillId="0" borderId="31" xfId="0" applyNumberFormat="1" applyFont="1" applyBorder="1" applyAlignment="1">
      <alignment horizontal="center" vertical="center"/>
    </xf>
    <xf numFmtId="3" fontId="10" fillId="0" borderId="32" xfId="0" applyNumberFormat="1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3" fontId="10" fillId="0" borderId="69" xfId="0" applyNumberFormat="1" applyFon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3" fontId="10" fillId="0" borderId="49" xfId="0" applyNumberFormat="1" applyFont="1" applyBorder="1" applyAlignment="1">
      <alignment horizontal="center" vertical="center"/>
    </xf>
    <xf numFmtId="3" fontId="27" fillId="0" borderId="8" xfId="0" applyNumberFormat="1" applyFont="1" applyBorder="1" applyAlignment="1">
      <alignment horizontal="center" vertical="center"/>
    </xf>
    <xf numFmtId="3" fontId="27" fillId="0" borderId="69" xfId="0" applyNumberFormat="1" applyFont="1" applyBorder="1" applyAlignment="1">
      <alignment horizontal="center" vertical="center"/>
    </xf>
    <xf numFmtId="3" fontId="8" fillId="0" borderId="41" xfId="0" applyNumberFormat="1" applyFont="1" applyBorder="1" applyAlignment="1">
      <alignment horizontal="center" vertical="center" readingOrder="1"/>
    </xf>
    <xf numFmtId="3" fontId="8" fillId="0" borderId="42" xfId="0" applyNumberFormat="1" applyFont="1" applyBorder="1" applyAlignment="1">
      <alignment horizontal="center" vertical="center" readingOrder="1"/>
    </xf>
    <xf numFmtId="3" fontId="8" fillId="0" borderId="43" xfId="0" applyNumberFormat="1" applyFont="1" applyBorder="1" applyAlignment="1">
      <alignment horizontal="center" vertical="center" readingOrder="1"/>
    </xf>
    <xf numFmtId="3" fontId="27" fillId="0" borderId="12" xfId="0" applyNumberFormat="1" applyFont="1" applyBorder="1" applyAlignment="1">
      <alignment horizontal="center" vertical="center" readingOrder="1"/>
    </xf>
    <xf numFmtId="3" fontId="27" fillId="0" borderId="63" xfId="0" applyNumberFormat="1" applyFont="1" applyBorder="1" applyAlignment="1">
      <alignment horizontal="center" vertical="center" readingOrder="1"/>
    </xf>
    <xf numFmtId="3" fontId="8" fillId="2" borderId="64" xfId="0" applyNumberFormat="1" applyFont="1" applyFill="1" applyBorder="1" applyAlignment="1">
      <alignment horizontal="center" vertical="center" readingOrder="1"/>
    </xf>
    <xf numFmtId="3" fontId="8" fillId="2" borderId="65" xfId="0" applyNumberFormat="1" applyFont="1" applyFill="1" applyBorder="1" applyAlignment="1">
      <alignment horizontal="center" vertical="center" readingOrder="1"/>
    </xf>
    <xf numFmtId="3" fontId="8" fillId="2" borderId="66" xfId="0" applyNumberFormat="1" applyFont="1" applyFill="1" applyBorder="1" applyAlignment="1">
      <alignment horizontal="center" vertical="center" readingOrder="1"/>
    </xf>
    <xf numFmtId="3" fontId="8" fillId="0" borderId="41" xfId="0" applyNumberFormat="1" applyFont="1" applyBorder="1" applyAlignment="1">
      <alignment horizontal="left" vertical="center" readingOrder="1"/>
    </xf>
    <xf numFmtId="3" fontId="8" fillId="0" borderId="42" xfId="0" applyNumberFormat="1" applyFont="1" applyBorder="1" applyAlignment="1">
      <alignment horizontal="left" vertical="center" readingOrder="1"/>
    </xf>
    <xf numFmtId="3" fontId="8" fillId="0" borderId="43" xfId="0" applyNumberFormat="1" applyFont="1" applyBorder="1" applyAlignment="1">
      <alignment horizontal="left" vertical="center" readingOrder="1"/>
    </xf>
    <xf numFmtId="3" fontId="27" fillId="0" borderId="67" xfId="0" applyNumberFormat="1" applyFont="1" applyBorder="1" applyAlignment="1">
      <alignment horizontal="center" vertical="center" readingOrder="1"/>
    </xf>
    <xf numFmtId="3" fontId="27" fillId="0" borderId="68" xfId="0" applyNumberFormat="1" applyFont="1" applyBorder="1" applyAlignment="1">
      <alignment horizontal="center" vertical="center" readingOrder="1"/>
    </xf>
    <xf numFmtId="3" fontId="10" fillId="0" borderId="21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 readingOrder="1"/>
    </xf>
    <xf numFmtId="3" fontId="8" fillId="2" borderId="34" xfId="0" applyNumberFormat="1" applyFont="1" applyFill="1" applyBorder="1" applyAlignment="1">
      <alignment horizontal="center" vertical="center" readingOrder="1"/>
    </xf>
    <xf numFmtId="3" fontId="8" fillId="2" borderId="35" xfId="0" applyNumberFormat="1" applyFont="1" applyFill="1" applyBorder="1" applyAlignment="1">
      <alignment horizontal="center" vertical="center" readingOrder="1"/>
    </xf>
    <xf numFmtId="3" fontId="8" fillId="2" borderId="36" xfId="0" applyNumberFormat="1" applyFont="1" applyFill="1" applyBorder="1" applyAlignment="1">
      <alignment horizontal="center" vertical="center" readingOrder="1"/>
    </xf>
    <xf numFmtId="3" fontId="1" fillId="0" borderId="0" xfId="0" applyNumberFormat="1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0</xdr:rowOff>
    </xdr:from>
    <xdr:to>
      <xdr:col>7</xdr:col>
      <xdr:colOff>57150</xdr:colOff>
      <xdr:row>8</xdr:row>
      <xdr:rowOff>66675</xdr:rowOff>
    </xdr:to>
    <xdr:pic>
      <xdr:nvPicPr>
        <xdr:cNvPr id="8193" name="Picture 2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62150" y="0"/>
          <a:ext cx="1533525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12700</xdr:colOff>
      <xdr:row>0</xdr:row>
      <xdr:rowOff>9526</xdr:rowOff>
    </xdr:from>
    <xdr:to>
      <xdr:col>16</xdr:col>
      <xdr:colOff>152400</xdr:colOff>
      <xdr:row>8</xdr:row>
      <xdr:rowOff>57150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13175" y="9526"/>
          <a:ext cx="1654175" cy="11715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1100"/>
            <a:t>Timbre à date </a:t>
          </a:r>
        </a:p>
      </xdr:txBody>
    </xdr:sp>
    <xdr:clientData/>
  </xdr:twoCellAnchor>
  <xdr:twoCellAnchor>
    <xdr:from>
      <xdr:col>1</xdr:col>
      <xdr:colOff>1066800</xdr:colOff>
      <xdr:row>8</xdr:row>
      <xdr:rowOff>76200</xdr:rowOff>
    </xdr:from>
    <xdr:to>
      <xdr:col>13</xdr:col>
      <xdr:colOff>133350</xdr:colOff>
      <xdr:row>9</xdr:row>
      <xdr:rowOff>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14450" y="1200150"/>
          <a:ext cx="2933700" cy="571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fr-FR" sz="1100"/>
            <a:t>DECLARATION</a:t>
          </a:r>
        </a:p>
        <a:p>
          <a:pPr algn="ctr"/>
          <a:r>
            <a:rPr lang="fr-FR" sz="1100"/>
            <a:t>IMPOT SUR LES SOCIETES</a:t>
          </a:r>
        </a:p>
      </xdr:txBody>
    </xdr:sp>
    <xdr:clientData/>
  </xdr:twoCellAnchor>
  <xdr:twoCellAnchor>
    <xdr:from>
      <xdr:col>0</xdr:col>
      <xdr:colOff>165100</xdr:colOff>
      <xdr:row>5</xdr:row>
      <xdr:rowOff>82550</xdr:rowOff>
    </xdr:from>
    <xdr:to>
      <xdr:col>1</xdr:col>
      <xdr:colOff>717550</xdr:colOff>
      <xdr:row>5</xdr:row>
      <xdr:rowOff>82550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65100" y="787400"/>
          <a:ext cx="8001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158750</xdr:colOff>
      <xdr:row>2</xdr:row>
      <xdr:rowOff>88900</xdr:rowOff>
    </xdr:from>
    <xdr:to>
      <xdr:col>1</xdr:col>
      <xdr:colOff>711200</xdr:colOff>
      <xdr:row>2</xdr:row>
      <xdr:rowOff>88900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58750" y="307975"/>
          <a:ext cx="8001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177800</xdr:colOff>
      <xdr:row>20</xdr:row>
      <xdr:rowOff>19050</xdr:rowOff>
    </xdr:from>
    <xdr:to>
      <xdr:col>16</xdr:col>
      <xdr:colOff>158750</xdr:colOff>
      <xdr:row>23</xdr:row>
      <xdr:rowOff>57150</xdr:rowOff>
    </xdr:to>
    <xdr:sp macro="" textlink="">
      <xdr:nvSpPr>
        <xdr:cNvPr id="9" name="Accolade ouvrant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54550" y="3952875"/>
          <a:ext cx="161925" cy="666750"/>
        </a:xfrm>
        <a:prstGeom prst="leftBrace">
          <a:avLst>
            <a:gd name="adj1" fmla="val 37601"/>
            <a:gd name="adj2" fmla="val 47710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885825</xdr:colOff>
          <xdr:row>40</xdr:row>
          <xdr:rowOff>180975</xdr:rowOff>
        </xdr:from>
        <xdr:to>
          <xdr:col>1</xdr:col>
          <xdr:colOff>1200150</xdr:colOff>
          <xdr:row>42</xdr:row>
          <xdr:rowOff>19050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3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40</xdr:row>
          <xdr:rowOff>180975</xdr:rowOff>
        </xdr:from>
        <xdr:to>
          <xdr:col>2</xdr:col>
          <xdr:colOff>342900</xdr:colOff>
          <xdr:row>42</xdr:row>
          <xdr:rowOff>19050</xdr:rowOff>
        </xdr:to>
        <xdr:sp macro="" textlink="">
          <xdr:nvSpPr>
            <xdr:cNvPr id="7173" name="texte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3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40</xdr:row>
          <xdr:rowOff>180975</xdr:rowOff>
        </xdr:from>
        <xdr:to>
          <xdr:col>4</xdr:col>
          <xdr:colOff>266700</xdr:colOff>
          <xdr:row>42</xdr:row>
          <xdr:rowOff>19050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3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5"/>
  <sheetViews>
    <sheetView showZeros="0" topLeftCell="A40" workbookViewId="0">
      <selection activeCell="U7" sqref="U7"/>
    </sheetView>
  </sheetViews>
  <sheetFormatPr baseColWidth="10" defaultColWidth="11.3984375" defaultRowHeight="11.65" x14ac:dyDescent="0.45"/>
  <cols>
    <col min="1" max="1" width="3.73046875" style="14" customWidth="1"/>
    <col min="2" max="2" width="16.3984375" style="14" customWidth="1"/>
    <col min="3" max="3" width="20.265625" style="14" customWidth="1"/>
    <col min="4" max="4" width="3" style="14" customWidth="1"/>
    <col min="5" max="9" width="2.73046875" style="14" customWidth="1"/>
    <col min="10" max="10" width="4.1328125" style="14" customWidth="1"/>
    <col min="11" max="11" width="2.73046875" style="14" customWidth="1"/>
    <col min="12" max="12" width="3.3984375" style="14" customWidth="1"/>
    <col min="13" max="13" width="2.73046875" style="14" customWidth="1"/>
    <col min="14" max="14" width="4.265625" style="14" customWidth="1"/>
    <col min="15" max="17" width="2.73046875" style="14" customWidth="1"/>
    <col min="18" max="18" width="3.86328125" style="14" customWidth="1"/>
    <col min="19" max="19" width="13.1328125" style="14" customWidth="1"/>
    <col min="20" max="16384" width="11.3984375" style="14"/>
  </cols>
  <sheetData>
    <row r="1" spans="1:19" ht="15" customHeight="1" x14ac:dyDescent="0.45">
      <c r="A1" s="13" t="s">
        <v>6</v>
      </c>
      <c r="B1" s="13"/>
    </row>
    <row r="2" spans="1:19" ht="15" customHeight="1" x14ac:dyDescent="0.45">
      <c r="A2" s="82" t="s">
        <v>16</v>
      </c>
      <c r="B2" s="82"/>
    </row>
    <row r="3" spans="1:19" ht="15" customHeight="1" x14ac:dyDescent="0.45">
      <c r="A3" s="82"/>
      <c r="B3" s="82"/>
    </row>
    <row r="4" spans="1:19" ht="15" customHeight="1" x14ac:dyDescent="0.45">
      <c r="A4" s="13" t="s">
        <v>0</v>
      </c>
      <c r="B4" s="13"/>
    </row>
    <row r="5" spans="1:19" ht="15" customHeight="1" x14ac:dyDescent="0.45">
      <c r="A5" s="13" t="s">
        <v>1</v>
      </c>
      <c r="B5" s="13"/>
    </row>
    <row r="6" spans="1:19" ht="14.25" customHeight="1" x14ac:dyDescent="0.45">
      <c r="A6" s="13"/>
      <c r="B6" s="13"/>
    </row>
    <row r="7" spans="1:19" ht="15" customHeight="1" x14ac:dyDescent="0.45">
      <c r="A7" s="13" t="s">
        <v>7</v>
      </c>
      <c r="B7" s="13"/>
    </row>
    <row r="8" spans="1:19" ht="15" customHeight="1" x14ac:dyDescent="0.45">
      <c r="A8" s="13" t="s">
        <v>8</v>
      </c>
      <c r="B8" s="13"/>
    </row>
    <row r="9" spans="1:19" ht="51" customHeight="1" x14ac:dyDescent="0.45">
      <c r="A9" s="16"/>
      <c r="B9" s="16"/>
    </row>
    <row r="10" spans="1:19" ht="16.5" customHeight="1" x14ac:dyDescent="0.45">
      <c r="B10" s="13"/>
      <c r="C10" s="13" t="s">
        <v>2</v>
      </c>
      <c r="M10" s="83"/>
    </row>
    <row r="11" spans="1:19" ht="16.5" customHeight="1" x14ac:dyDescent="0.45">
      <c r="B11" s="13"/>
      <c r="C11" s="13" t="s">
        <v>3</v>
      </c>
      <c r="M11" s="83"/>
    </row>
    <row r="12" spans="1:19" ht="16.5" customHeight="1" x14ac:dyDescent="0.45">
      <c r="B12" s="16"/>
      <c r="C12" s="84" t="s">
        <v>9</v>
      </c>
      <c r="D12" s="131">
        <f>anExer</f>
        <v>2025</v>
      </c>
      <c r="E12" s="132"/>
      <c r="F12" s="132"/>
      <c r="G12" s="133"/>
      <c r="H12" s="14" t="s">
        <v>204</v>
      </c>
      <c r="K12" s="134" t="str">
        <f>perExer</f>
        <v> </v>
      </c>
      <c r="L12" s="134"/>
      <c r="M12" s="134"/>
      <c r="N12" s="134"/>
      <c r="O12" s="134"/>
      <c r="P12" s="134"/>
      <c r="Q12" s="134"/>
      <c r="R12" s="134"/>
      <c r="S12" s="134"/>
    </row>
    <row r="13" spans="1:19" ht="5.25" customHeight="1" thickBot="1" x14ac:dyDescent="0.5">
      <c r="B13" s="16"/>
      <c r="C13" s="84"/>
    </row>
    <row r="14" spans="1:19" ht="16.5" customHeight="1" thickTop="1" x14ac:dyDescent="0.45">
      <c r="A14" s="85"/>
      <c r="B14" s="86" t="s">
        <v>17</v>
      </c>
      <c r="C14" s="87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9"/>
    </row>
    <row r="15" spans="1:19" ht="14.45" customHeight="1" x14ac:dyDescent="0.45">
      <c r="A15" s="90">
        <v>1</v>
      </c>
      <c r="B15" s="13" t="s">
        <v>135</v>
      </c>
      <c r="C15" s="16"/>
      <c r="D15" s="135" t="str">
        <f>numFisc</f>
        <v> </v>
      </c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7"/>
      <c r="S15" s="91"/>
    </row>
    <row r="16" spans="1:19" ht="14.45" customHeight="1" x14ac:dyDescent="0.45">
      <c r="A16" s="90">
        <v>2</v>
      </c>
      <c r="B16" s="92" t="s">
        <v>136</v>
      </c>
      <c r="C16" s="16"/>
      <c r="D16" s="140" t="str">
        <f>soNom</f>
        <v>Dares Services Sarl</v>
      </c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1"/>
    </row>
    <row r="17" spans="1:19" ht="14.45" customHeight="1" x14ac:dyDescent="0.45">
      <c r="A17" s="90">
        <v>3</v>
      </c>
      <c r="B17" s="13" t="s">
        <v>18</v>
      </c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42"/>
    </row>
    <row r="18" spans="1:19" ht="14.45" customHeight="1" x14ac:dyDescent="0.45">
      <c r="A18" s="90">
        <v>4</v>
      </c>
      <c r="B18" s="13" t="s">
        <v>10</v>
      </c>
      <c r="C18" s="14" t="s">
        <v>137</v>
      </c>
      <c r="D18" s="83"/>
      <c r="F18" s="14" t="s">
        <v>138</v>
      </c>
      <c r="H18" s="83"/>
      <c r="L18" s="14" t="s">
        <v>25</v>
      </c>
      <c r="N18" s="83"/>
      <c r="P18" s="14" t="s">
        <v>139</v>
      </c>
      <c r="S18" s="91"/>
    </row>
    <row r="19" spans="1:19" ht="14.45" customHeight="1" x14ac:dyDescent="0.45">
      <c r="A19" s="73"/>
      <c r="B19" s="13"/>
      <c r="C19" s="13"/>
      <c r="S19" s="91"/>
    </row>
    <row r="20" spans="1:19" ht="14.45" customHeight="1" x14ac:dyDescent="0.45">
      <c r="A20" s="90">
        <v>5</v>
      </c>
      <c r="B20" s="13" t="s">
        <v>12</v>
      </c>
      <c r="S20" s="91"/>
    </row>
    <row r="21" spans="1:19" ht="14.45" customHeight="1" x14ac:dyDescent="0.45">
      <c r="A21" s="90"/>
      <c r="B21" s="13" t="s">
        <v>19</v>
      </c>
      <c r="C21" s="143"/>
      <c r="D21" s="143"/>
      <c r="E21" s="143"/>
      <c r="F21" s="143"/>
      <c r="G21" s="143"/>
      <c r="H21" s="14" t="s">
        <v>11</v>
      </c>
      <c r="J21" s="143"/>
      <c r="K21" s="143"/>
      <c r="L21" s="143"/>
      <c r="M21" s="143"/>
      <c r="N21" s="143"/>
      <c r="O21" s="143"/>
      <c r="P21" s="143"/>
      <c r="Q21" s="93"/>
      <c r="R21" s="93" t="s">
        <v>121</v>
      </c>
      <c r="S21" s="94"/>
    </row>
    <row r="22" spans="1:19" ht="14.45" customHeight="1" x14ac:dyDescent="0.45">
      <c r="A22" s="90"/>
      <c r="B22" s="13" t="s">
        <v>25</v>
      </c>
      <c r="C22" s="138"/>
      <c r="D22" s="138"/>
      <c r="E22" s="14" t="s">
        <v>26</v>
      </c>
      <c r="F22" s="138"/>
      <c r="G22" s="138"/>
      <c r="H22" s="52" t="s">
        <v>27</v>
      </c>
      <c r="J22" s="139"/>
      <c r="K22" s="139"/>
      <c r="L22" s="139"/>
      <c r="M22" s="139"/>
      <c r="N22" s="52" t="s">
        <v>28</v>
      </c>
      <c r="R22" s="14" t="s">
        <v>121</v>
      </c>
      <c r="S22" s="95"/>
    </row>
    <row r="23" spans="1:19" ht="14.45" customHeight="1" x14ac:dyDescent="0.45">
      <c r="A23" s="90"/>
      <c r="B23" s="13" t="s">
        <v>140</v>
      </c>
      <c r="D23" s="14" t="s">
        <v>29</v>
      </c>
      <c r="E23" s="144"/>
      <c r="F23" s="144"/>
      <c r="G23" s="144"/>
      <c r="H23" s="14" t="s">
        <v>11</v>
      </c>
      <c r="J23" s="143"/>
      <c r="K23" s="143"/>
      <c r="L23" s="143"/>
      <c r="M23" s="143"/>
      <c r="N23" s="143"/>
      <c r="O23" s="143"/>
      <c r="P23" s="143"/>
      <c r="Q23" s="93"/>
      <c r="R23" s="93" t="s">
        <v>121</v>
      </c>
      <c r="S23" s="95"/>
    </row>
    <row r="24" spans="1:19" ht="14.45" customHeight="1" x14ac:dyDescent="0.45">
      <c r="A24" s="90"/>
      <c r="B24" s="13" t="s">
        <v>25</v>
      </c>
      <c r="C24" s="22"/>
      <c r="D24" s="52" t="s">
        <v>27</v>
      </c>
      <c r="F24" s="139"/>
      <c r="G24" s="139"/>
      <c r="H24" s="139"/>
      <c r="I24" s="139"/>
      <c r="J24" s="14" t="s">
        <v>26</v>
      </c>
      <c r="K24" s="138"/>
      <c r="L24" s="138"/>
      <c r="S24" s="91"/>
    </row>
    <row r="25" spans="1:19" ht="14.45" customHeight="1" x14ac:dyDescent="0.45">
      <c r="A25" s="90"/>
      <c r="B25" s="21"/>
      <c r="C25" s="96" t="s">
        <v>29</v>
      </c>
      <c r="D25" s="144"/>
      <c r="E25" s="144"/>
      <c r="F25" s="144"/>
      <c r="G25" s="144"/>
      <c r="H25" s="144"/>
      <c r="I25" s="144"/>
      <c r="J25" s="144"/>
      <c r="K25" s="144"/>
      <c r="L25" s="22" t="s">
        <v>141</v>
      </c>
      <c r="M25" s="22"/>
      <c r="N25" s="138"/>
      <c r="O25" s="138"/>
      <c r="P25" s="138"/>
      <c r="Q25" s="138"/>
      <c r="R25" s="138"/>
      <c r="S25" s="146"/>
    </row>
    <row r="26" spans="1:19" ht="14.45" customHeight="1" x14ac:dyDescent="0.45">
      <c r="A26" s="90"/>
      <c r="B26" s="98"/>
      <c r="C26" s="96" t="s">
        <v>29</v>
      </c>
      <c r="D26" s="138"/>
      <c r="E26" s="138"/>
      <c r="F26" s="138"/>
      <c r="G26" s="138"/>
      <c r="H26" s="138"/>
      <c r="I26" s="138"/>
      <c r="J26" s="138"/>
      <c r="K26" s="138"/>
      <c r="L26" s="99" t="s">
        <v>141</v>
      </c>
      <c r="M26" s="99"/>
      <c r="N26" s="23"/>
      <c r="O26" s="23"/>
      <c r="P26" s="23"/>
      <c r="Q26" s="23"/>
      <c r="R26" s="23"/>
      <c r="S26" s="97"/>
    </row>
    <row r="27" spans="1:19" ht="14.45" customHeight="1" x14ac:dyDescent="0.45">
      <c r="A27" s="90"/>
      <c r="B27" s="98"/>
      <c r="C27" s="96" t="s">
        <v>29</v>
      </c>
      <c r="D27" s="138"/>
      <c r="E27" s="138"/>
      <c r="F27" s="138"/>
      <c r="G27" s="138"/>
      <c r="H27" s="138"/>
      <c r="I27" s="138"/>
      <c r="J27" s="138"/>
      <c r="K27" s="138"/>
      <c r="L27" s="99" t="s">
        <v>141</v>
      </c>
      <c r="M27" s="99"/>
      <c r="N27" s="138"/>
      <c r="O27" s="138"/>
      <c r="P27" s="138"/>
      <c r="Q27" s="138"/>
      <c r="R27" s="138"/>
      <c r="S27" s="146"/>
    </row>
    <row r="28" spans="1:19" ht="14.45" customHeight="1" x14ac:dyDescent="0.45">
      <c r="A28" s="90"/>
      <c r="B28" s="16" t="s">
        <v>30</v>
      </c>
      <c r="C28" s="143"/>
      <c r="D28" s="143"/>
      <c r="E28" s="143"/>
      <c r="F28" s="143"/>
      <c r="G28" s="143"/>
      <c r="H28" s="143"/>
      <c r="I28" s="143"/>
      <c r="J28" s="143"/>
      <c r="N28" s="144"/>
      <c r="O28" s="144"/>
      <c r="P28" s="144"/>
      <c r="Q28" s="144"/>
      <c r="R28" s="144"/>
      <c r="S28" s="145"/>
    </row>
    <row r="29" spans="1:19" ht="14.45" customHeight="1" x14ac:dyDescent="0.45">
      <c r="A29" s="151">
        <v>7</v>
      </c>
      <c r="B29" s="16" t="s">
        <v>144</v>
      </c>
      <c r="C29" s="93"/>
      <c r="D29" s="93"/>
      <c r="E29" s="93"/>
      <c r="F29" s="93"/>
      <c r="G29" s="93"/>
      <c r="H29" s="93"/>
      <c r="I29" s="93"/>
      <c r="J29" s="93"/>
      <c r="N29" s="73"/>
      <c r="O29" s="73"/>
      <c r="P29" s="73"/>
      <c r="Q29" s="73"/>
      <c r="R29" s="73"/>
      <c r="S29" s="100"/>
    </row>
    <row r="30" spans="1:19" ht="14.45" customHeight="1" x14ac:dyDescent="0.45">
      <c r="A30" s="151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4"/>
    </row>
    <row r="31" spans="1:19" ht="14.45" customHeight="1" x14ac:dyDescent="0.45">
      <c r="A31" s="151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4"/>
    </row>
    <row r="32" spans="1:19" ht="14.45" customHeight="1" x14ac:dyDescent="0.45">
      <c r="A32" s="90">
        <v>8</v>
      </c>
      <c r="B32" s="101" t="s">
        <v>142</v>
      </c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52"/>
    </row>
    <row r="33" spans="1:19" ht="14.45" customHeight="1" x14ac:dyDescent="0.45">
      <c r="A33" s="90">
        <v>9</v>
      </c>
      <c r="B33" s="101" t="s">
        <v>143</v>
      </c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42"/>
    </row>
    <row r="34" spans="1:19" ht="14.45" customHeight="1" x14ac:dyDescent="0.45">
      <c r="A34" s="90">
        <v>10</v>
      </c>
      <c r="B34" s="16" t="s">
        <v>31</v>
      </c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42"/>
    </row>
    <row r="35" spans="1:19" ht="14.45" customHeight="1" x14ac:dyDescent="0.45">
      <c r="A35" s="90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6"/>
    </row>
    <row r="36" spans="1:19" ht="14.45" customHeight="1" thickBot="1" x14ac:dyDescent="0.5">
      <c r="A36" s="102"/>
      <c r="B36" s="103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5"/>
    </row>
    <row r="37" spans="1:19" ht="14.45" customHeight="1" thickTop="1" thickBot="1" x14ac:dyDescent="0.5">
      <c r="B37" s="13"/>
    </row>
    <row r="38" spans="1:19" ht="14.45" customHeight="1" x14ac:dyDescent="0.45">
      <c r="A38" s="106"/>
      <c r="B38" s="107" t="s">
        <v>20</v>
      </c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9"/>
    </row>
    <row r="39" spans="1:19" ht="14.45" customHeight="1" x14ac:dyDescent="0.45">
      <c r="A39" s="157">
        <v>11</v>
      </c>
      <c r="B39" s="150" t="s">
        <v>4</v>
      </c>
      <c r="C39" s="111" t="s">
        <v>202</v>
      </c>
      <c r="O39" s="147"/>
      <c r="P39" s="148"/>
      <c r="Q39" s="148"/>
      <c r="R39" s="148"/>
      <c r="S39" s="149"/>
    </row>
    <row r="40" spans="1:19" ht="14.45" customHeight="1" x14ac:dyDescent="0.45">
      <c r="A40" s="157"/>
      <c r="B40" s="150"/>
      <c r="C40" s="111" t="s">
        <v>200</v>
      </c>
      <c r="O40" s="147"/>
      <c r="P40" s="148"/>
      <c r="Q40" s="148"/>
      <c r="R40" s="148"/>
      <c r="S40" s="149"/>
    </row>
    <row r="41" spans="1:19" ht="14.45" customHeight="1" x14ac:dyDescent="0.45">
      <c r="A41" s="110">
        <v>12</v>
      </c>
      <c r="B41" s="13" t="s">
        <v>39</v>
      </c>
      <c r="O41" s="147"/>
      <c r="P41" s="148"/>
      <c r="Q41" s="148"/>
      <c r="R41" s="148"/>
      <c r="S41" s="149"/>
    </row>
    <row r="42" spans="1:19" ht="14.45" customHeight="1" x14ac:dyDescent="0.45">
      <c r="A42" s="110"/>
      <c r="B42" s="13" t="s">
        <v>13</v>
      </c>
      <c r="O42" s="147"/>
      <c r="P42" s="148"/>
      <c r="Q42" s="148"/>
      <c r="R42" s="148"/>
      <c r="S42" s="149"/>
    </row>
    <row r="43" spans="1:19" ht="14.45" customHeight="1" x14ac:dyDescent="0.45">
      <c r="A43" s="110">
        <v>13</v>
      </c>
      <c r="B43" s="13" t="s">
        <v>32</v>
      </c>
      <c r="O43" s="147"/>
      <c r="P43" s="148"/>
      <c r="Q43" s="148"/>
      <c r="R43" s="148"/>
      <c r="S43" s="149"/>
    </row>
    <row r="44" spans="1:19" ht="14.45" customHeight="1" x14ac:dyDescent="0.45">
      <c r="A44" s="110">
        <v>14</v>
      </c>
      <c r="B44" s="13" t="s">
        <v>33</v>
      </c>
      <c r="O44" s="147">
        <f>emprExer</f>
        <v>0</v>
      </c>
      <c r="P44" s="148"/>
      <c r="Q44" s="148"/>
      <c r="R44" s="148"/>
      <c r="S44" s="149"/>
    </row>
    <row r="45" spans="1:19" ht="14.45" customHeight="1" x14ac:dyDescent="0.45">
      <c r="A45" s="110">
        <v>15</v>
      </c>
      <c r="B45" s="13" t="s">
        <v>34</v>
      </c>
      <c r="O45" s="147">
        <f>emprRemb</f>
        <v>0</v>
      </c>
      <c r="P45" s="148"/>
      <c r="Q45" s="148"/>
      <c r="R45" s="148"/>
      <c r="S45" s="149"/>
    </row>
    <row r="46" spans="1:19" ht="14.45" customHeight="1" x14ac:dyDescent="0.45">
      <c r="A46" s="110">
        <v>16</v>
      </c>
      <c r="B46" s="13" t="s">
        <v>35</v>
      </c>
      <c r="O46" s="147">
        <f>mImport</f>
        <v>0</v>
      </c>
      <c r="P46" s="148"/>
      <c r="Q46" s="148"/>
      <c r="R46" s="148"/>
      <c r="S46" s="149"/>
    </row>
    <row r="47" spans="1:19" ht="14.45" customHeight="1" x14ac:dyDescent="0.45">
      <c r="A47" s="110">
        <v>17</v>
      </c>
      <c r="B47" s="13" t="s">
        <v>203</v>
      </c>
      <c r="O47" s="147">
        <f>mExport</f>
        <v>0</v>
      </c>
      <c r="P47" s="148"/>
      <c r="Q47" s="148"/>
      <c r="R47" s="148"/>
      <c r="S47" s="149"/>
    </row>
    <row r="48" spans="1:19" ht="14.45" customHeight="1" x14ac:dyDescent="0.45">
      <c r="A48" s="110">
        <v>18</v>
      </c>
      <c r="B48" s="13" t="s">
        <v>36</v>
      </c>
      <c r="O48" s="147">
        <f>mVenLoc</f>
        <v>0</v>
      </c>
      <c r="P48" s="148"/>
      <c r="Q48" s="148"/>
      <c r="R48" s="148"/>
      <c r="S48" s="149"/>
    </row>
    <row r="49" spans="1:19" ht="14.45" customHeight="1" x14ac:dyDescent="0.45">
      <c r="A49" s="110">
        <v>19</v>
      </c>
      <c r="B49" s="13" t="s">
        <v>37</v>
      </c>
      <c r="O49" s="147">
        <f>mSal</f>
        <v>0</v>
      </c>
      <c r="P49" s="148"/>
      <c r="Q49" s="148"/>
      <c r="R49" s="148"/>
      <c r="S49" s="149"/>
    </row>
    <row r="50" spans="1:19" ht="14.45" customHeight="1" x14ac:dyDescent="0.45">
      <c r="A50" s="110">
        <v>20</v>
      </c>
      <c r="B50" s="13" t="s">
        <v>38</v>
      </c>
      <c r="O50" s="147"/>
      <c r="P50" s="148"/>
      <c r="Q50" s="148"/>
      <c r="R50" s="148"/>
      <c r="S50" s="149"/>
    </row>
    <row r="51" spans="1:19" ht="14.45" customHeight="1" x14ac:dyDescent="0.45">
      <c r="A51" s="110">
        <v>21</v>
      </c>
      <c r="B51" s="13" t="s">
        <v>145</v>
      </c>
      <c r="O51" s="147"/>
      <c r="P51" s="148"/>
      <c r="Q51" s="148"/>
      <c r="R51" s="148"/>
      <c r="S51" s="149"/>
    </row>
    <row r="52" spans="1:19" ht="14.45" customHeight="1" x14ac:dyDescent="0.45">
      <c r="A52" s="110">
        <v>22</v>
      </c>
      <c r="B52" s="13" t="s">
        <v>146</v>
      </c>
      <c r="O52" s="147"/>
      <c r="P52" s="148"/>
      <c r="Q52" s="148"/>
      <c r="R52" s="148"/>
      <c r="S52" s="149"/>
    </row>
    <row r="53" spans="1:19" ht="14.45" customHeight="1" x14ac:dyDescent="0.45">
      <c r="A53" s="110">
        <v>23</v>
      </c>
      <c r="B53" s="13" t="s">
        <v>147</v>
      </c>
      <c r="H53" s="13" t="s">
        <v>14</v>
      </c>
      <c r="K53" s="162"/>
      <c r="L53" s="162"/>
      <c r="M53" s="162"/>
      <c r="N53" s="162"/>
      <c r="O53" s="163"/>
      <c r="P53" s="139"/>
      <c r="Q53" s="139"/>
      <c r="R53" s="139"/>
      <c r="S53" s="164"/>
    </row>
    <row r="54" spans="1:19" ht="14.45" customHeight="1" x14ac:dyDescent="0.45">
      <c r="A54" s="110"/>
      <c r="B54" s="13"/>
      <c r="H54" s="13" t="s">
        <v>14</v>
      </c>
      <c r="J54" s="13"/>
      <c r="K54" s="162"/>
      <c r="L54" s="162"/>
      <c r="M54" s="162"/>
      <c r="N54" s="162"/>
      <c r="O54" s="163"/>
      <c r="P54" s="139"/>
      <c r="Q54" s="139"/>
      <c r="R54" s="139"/>
      <c r="S54" s="164"/>
    </row>
    <row r="55" spans="1:19" ht="14.45" customHeight="1" thickBot="1" x14ac:dyDescent="0.5">
      <c r="A55" s="112"/>
      <c r="B55" s="113"/>
      <c r="C55" s="114"/>
      <c r="D55" s="114"/>
      <c r="E55" s="114"/>
      <c r="F55" s="114"/>
      <c r="G55" s="114"/>
      <c r="H55" s="113" t="s">
        <v>14</v>
      </c>
      <c r="I55" s="114"/>
      <c r="J55" s="113"/>
      <c r="K55" s="158"/>
      <c r="L55" s="158"/>
      <c r="M55" s="158"/>
      <c r="N55" s="158"/>
      <c r="O55" s="159"/>
      <c r="P55" s="160"/>
      <c r="Q55" s="160"/>
      <c r="R55" s="160"/>
      <c r="S55" s="161"/>
    </row>
    <row r="56" spans="1:19" x14ac:dyDescent="0.45">
      <c r="B56" s="16"/>
    </row>
    <row r="101" ht="15" customHeight="1" x14ac:dyDescent="0.45"/>
    <row r="102" ht="15" customHeight="1" x14ac:dyDescent="0.45"/>
    <row r="103" ht="36" customHeight="1" x14ac:dyDescent="0.45"/>
    <row r="104" ht="35.25" customHeight="1" x14ac:dyDescent="0.45"/>
    <row r="105" ht="17.45" customHeight="1" x14ac:dyDescent="0.45"/>
    <row r="106" ht="24.95" customHeight="1" x14ac:dyDescent="0.45"/>
    <row r="107" s="115" customFormat="1" ht="35.1" customHeight="1" x14ac:dyDescent="0.45"/>
    <row r="108" ht="24.95" customHeight="1" x14ac:dyDescent="0.45"/>
    <row r="109" ht="24.95" customHeight="1" x14ac:dyDescent="0.45"/>
    <row r="110" ht="24.95" customHeight="1" x14ac:dyDescent="0.45"/>
    <row r="111" ht="17.45" customHeight="1" x14ac:dyDescent="0.45"/>
    <row r="112" ht="17.45" customHeight="1" x14ac:dyDescent="0.45"/>
    <row r="113" ht="36" customHeight="1" x14ac:dyDescent="0.45"/>
    <row r="114" ht="24.95" customHeight="1" x14ac:dyDescent="0.45"/>
    <row r="115" ht="17.45" customHeight="1" x14ac:dyDescent="0.45"/>
    <row r="116" ht="17.45" customHeight="1" x14ac:dyDescent="0.45"/>
    <row r="117" ht="24.95" customHeight="1" x14ac:dyDescent="0.45"/>
    <row r="118" ht="24.95" customHeight="1" x14ac:dyDescent="0.45"/>
    <row r="119" ht="33.75" customHeight="1" x14ac:dyDescent="0.45"/>
    <row r="120" ht="24.95" customHeight="1" x14ac:dyDescent="0.45"/>
    <row r="121" ht="17.45" customHeight="1" x14ac:dyDescent="0.45"/>
    <row r="122" ht="24.95" customHeight="1" x14ac:dyDescent="0.45"/>
    <row r="123" ht="24.95" customHeight="1" x14ac:dyDescent="0.45"/>
    <row r="124" ht="24.95" customHeight="1" x14ac:dyDescent="0.45"/>
    <row r="125" ht="17.45" customHeight="1" x14ac:dyDescent="0.45"/>
    <row r="126" ht="24.95" customHeight="1" x14ac:dyDescent="0.45"/>
    <row r="127" ht="24.95" customHeight="1" x14ac:dyDescent="0.45"/>
    <row r="128" ht="24.95" customHeight="1" x14ac:dyDescent="0.45"/>
    <row r="129" spans="1:19" ht="17.45" customHeight="1" x14ac:dyDescent="0.45"/>
    <row r="130" spans="1:19" ht="17.45" customHeight="1" x14ac:dyDescent="0.45"/>
    <row r="131" spans="1:19" ht="17.45" customHeight="1" x14ac:dyDescent="0.45"/>
    <row r="132" spans="1:19" ht="24.95" customHeight="1" x14ac:dyDescent="0.45"/>
    <row r="133" spans="1:19" ht="17.45" customHeight="1" x14ac:dyDescent="0.45"/>
    <row r="134" spans="1:19" ht="17.45" customHeight="1" x14ac:dyDescent="0.45"/>
    <row r="135" spans="1:19" ht="17.45" customHeight="1" x14ac:dyDescent="0.45">
      <c r="A135" s="53"/>
      <c r="B135" s="116"/>
      <c r="C135" s="52"/>
      <c r="D135" s="53"/>
      <c r="E135" s="53"/>
      <c r="F135" s="53"/>
      <c r="G135" s="53"/>
      <c r="H135" s="52"/>
      <c r="I135" s="52"/>
      <c r="J135" s="52"/>
      <c r="K135" s="52"/>
      <c r="L135" s="53"/>
      <c r="M135" s="54"/>
      <c r="N135" s="54"/>
      <c r="O135" s="54"/>
      <c r="P135" s="54"/>
      <c r="Q135" s="54"/>
      <c r="R135" s="54"/>
      <c r="S135" s="52"/>
    </row>
  </sheetData>
  <mergeCells count="50">
    <mergeCell ref="K55:N55"/>
    <mergeCell ref="O55:S55"/>
    <mergeCell ref="K54:N54"/>
    <mergeCell ref="O54:S54"/>
    <mergeCell ref="K53:N53"/>
    <mergeCell ref="O53:S53"/>
    <mergeCell ref="A29:A31"/>
    <mergeCell ref="O49:S49"/>
    <mergeCell ref="O50:S50"/>
    <mergeCell ref="D34:S34"/>
    <mergeCell ref="D32:S32"/>
    <mergeCell ref="D33:S33"/>
    <mergeCell ref="B31:S31"/>
    <mergeCell ref="B35:S35"/>
    <mergeCell ref="B30:S30"/>
    <mergeCell ref="A39:A40"/>
    <mergeCell ref="O42:S42"/>
    <mergeCell ref="O43:S43"/>
    <mergeCell ref="O44:S44"/>
    <mergeCell ref="O41:S41"/>
    <mergeCell ref="O52:S52"/>
    <mergeCell ref="B39:B40"/>
    <mergeCell ref="O39:S39"/>
    <mergeCell ref="O40:S40"/>
    <mergeCell ref="O45:S45"/>
    <mergeCell ref="O46:S46"/>
    <mergeCell ref="O47:S47"/>
    <mergeCell ref="O48:S48"/>
    <mergeCell ref="O51:S51"/>
    <mergeCell ref="N25:S25"/>
    <mergeCell ref="D25:K25"/>
    <mergeCell ref="E23:G23"/>
    <mergeCell ref="J23:P23"/>
    <mergeCell ref="F24:I24"/>
    <mergeCell ref="K24:L24"/>
    <mergeCell ref="C28:J28"/>
    <mergeCell ref="N28:S28"/>
    <mergeCell ref="D26:K26"/>
    <mergeCell ref="D27:K27"/>
    <mergeCell ref="N27:S27"/>
    <mergeCell ref="D12:G12"/>
    <mergeCell ref="K12:S12"/>
    <mergeCell ref="D15:P15"/>
    <mergeCell ref="C22:D22"/>
    <mergeCell ref="F22:G22"/>
    <mergeCell ref="J22:M22"/>
    <mergeCell ref="D16:S16"/>
    <mergeCell ref="D17:S17"/>
    <mergeCell ref="C21:G21"/>
    <mergeCell ref="J21:P21"/>
  </mergeCells>
  <phoneticPr fontId="0" type="noConversion"/>
  <pageMargins left="0.14000000000000001" right="0.13" top="0.25" bottom="0.39370078740157483" header="0.11811023622047245" footer="0.11811023622047245"/>
  <pageSetup paperSize="9" scale="81" orientation="portrait" r:id="rId1"/>
  <headerFooter>
    <oddHeader>&amp;RMod 2011-IS</oddHeader>
    <oddFooter>Page &amp;P de &amp;N</oddFooter>
  </headerFooter>
  <rowBreaks count="2" manualBreakCount="2">
    <brk id="55" max="16383" man="1"/>
    <brk id="10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showZeros="0" topLeftCell="A22" workbookViewId="0">
      <selection activeCell="H24" sqref="H24:L24"/>
    </sheetView>
  </sheetViews>
  <sheetFormatPr baseColWidth="10" defaultRowHeight="14.25" x14ac:dyDescent="0.45"/>
  <cols>
    <col min="1" max="1" width="2.73046875" customWidth="1"/>
    <col min="2" max="2" width="52.265625" customWidth="1"/>
    <col min="3" max="7" width="1.73046875" customWidth="1"/>
    <col min="8" max="12" width="3.73046875" customWidth="1"/>
  </cols>
  <sheetData>
    <row r="1" spans="1:12" ht="12.75" customHeight="1" thickBot="1" x14ac:dyDescent="0.5">
      <c r="H1" s="8" t="s">
        <v>194</v>
      </c>
    </row>
    <row r="2" spans="1:12" s="1" customFormat="1" ht="17.45" customHeight="1" x14ac:dyDescent="0.45">
      <c r="A2" s="9"/>
      <c r="B2" s="10" t="s">
        <v>21</v>
      </c>
      <c r="C2" s="3"/>
      <c r="D2" s="3"/>
      <c r="E2" s="3"/>
      <c r="F2" s="3"/>
      <c r="G2" s="11"/>
      <c r="H2" s="2"/>
      <c r="I2" s="3"/>
      <c r="J2" s="3"/>
      <c r="K2" s="3"/>
      <c r="L2" s="4"/>
    </row>
    <row r="3" spans="1:12" s="1" customFormat="1" ht="17.45" customHeight="1" x14ac:dyDescent="0.45">
      <c r="A3" s="12">
        <v>24</v>
      </c>
      <c r="B3" s="13" t="s">
        <v>40</v>
      </c>
      <c r="C3" s="14"/>
      <c r="D3" s="14"/>
      <c r="E3" s="14"/>
      <c r="F3" s="14"/>
      <c r="G3" s="14"/>
      <c r="H3" s="165">
        <v>656589064</v>
      </c>
      <c r="I3" s="138"/>
      <c r="J3" s="138"/>
      <c r="K3" s="138"/>
      <c r="L3" s="166"/>
    </row>
    <row r="4" spans="1:12" s="1" customFormat="1" ht="17.45" customHeight="1" x14ac:dyDescent="0.45">
      <c r="A4" s="12">
        <v>25</v>
      </c>
      <c r="B4" s="13"/>
      <c r="C4" s="14"/>
      <c r="D4" s="14"/>
      <c r="E4" s="14"/>
      <c r="F4" s="14"/>
      <c r="G4" s="14"/>
      <c r="H4" s="165"/>
      <c r="I4" s="138"/>
      <c r="J4" s="138"/>
      <c r="K4" s="138"/>
      <c r="L4" s="166"/>
    </row>
    <row r="5" spans="1:12" s="1" customFormat="1" ht="17.45" customHeight="1" x14ac:dyDescent="0.45">
      <c r="A5" s="12">
        <v>26</v>
      </c>
      <c r="B5" s="13" t="s">
        <v>41</v>
      </c>
      <c r="C5" s="14"/>
      <c r="D5" s="14"/>
      <c r="E5" s="14"/>
      <c r="F5" s="14"/>
      <c r="G5" s="14"/>
      <c r="H5" s="165"/>
      <c r="I5" s="138"/>
      <c r="J5" s="138"/>
      <c r="K5" s="138"/>
      <c r="L5" s="166"/>
    </row>
    <row r="6" spans="1:12" s="1" customFormat="1" ht="17.45" customHeight="1" x14ac:dyDescent="0.45">
      <c r="A6" s="12">
        <v>27</v>
      </c>
      <c r="B6" s="13"/>
      <c r="C6" s="14"/>
      <c r="D6" s="14"/>
      <c r="E6" s="14"/>
      <c r="F6" s="14"/>
      <c r="G6" s="14"/>
      <c r="H6" s="165"/>
      <c r="I6" s="138"/>
      <c r="J6" s="138"/>
      <c r="K6" s="138"/>
      <c r="L6" s="166"/>
    </row>
    <row r="7" spans="1:12" s="1" customFormat="1" ht="17.45" customHeight="1" x14ac:dyDescent="0.45">
      <c r="A7" s="12">
        <v>28</v>
      </c>
      <c r="B7" s="13" t="s">
        <v>42</v>
      </c>
      <c r="C7" s="14"/>
      <c r="D7" s="14"/>
      <c r="E7" s="14"/>
      <c r="F7" s="14"/>
      <c r="G7" s="14"/>
      <c r="H7" s="165"/>
      <c r="I7" s="138"/>
      <c r="J7" s="138"/>
      <c r="K7" s="138"/>
      <c r="L7" s="166"/>
    </row>
    <row r="8" spans="1:12" s="1" customFormat="1" ht="17.45" customHeight="1" x14ac:dyDescent="0.45">
      <c r="A8" s="12">
        <v>29</v>
      </c>
      <c r="B8" s="13" t="s">
        <v>43</v>
      </c>
      <c r="C8" s="14"/>
      <c r="D8" s="14"/>
      <c r="E8" s="14"/>
      <c r="F8" s="14"/>
      <c r="G8" s="14"/>
      <c r="H8" s="165"/>
      <c r="I8" s="138"/>
      <c r="J8" s="138"/>
      <c r="K8" s="138"/>
      <c r="L8" s="166"/>
    </row>
    <row r="9" spans="1:12" s="1" customFormat="1" ht="17.45" customHeight="1" x14ac:dyDescent="0.45">
      <c r="A9" s="12">
        <v>30</v>
      </c>
      <c r="B9" s="13" t="s">
        <v>44</v>
      </c>
      <c r="C9" s="14"/>
      <c r="D9" s="14"/>
      <c r="E9" s="14"/>
      <c r="F9" s="14"/>
      <c r="G9" s="14"/>
      <c r="H9" s="165">
        <v>77098985</v>
      </c>
      <c r="I9" s="138"/>
      <c r="J9" s="138"/>
      <c r="K9" s="138"/>
      <c r="L9" s="166"/>
    </row>
    <row r="10" spans="1:12" s="1" customFormat="1" ht="17.45" customHeight="1" x14ac:dyDescent="0.45">
      <c r="A10" s="12">
        <v>31</v>
      </c>
      <c r="B10" s="13" t="s">
        <v>45</v>
      </c>
      <c r="C10" s="14"/>
      <c r="D10" s="14"/>
      <c r="E10" s="14"/>
      <c r="F10" s="14"/>
      <c r="G10" s="14"/>
      <c r="H10" s="165"/>
      <c r="I10" s="138"/>
      <c r="J10" s="138"/>
      <c r="K10" s="138"/>
      <c r="L10" s="166"/>
    </row>
    <row r="11" spans="1:12" s="6" customFormat="1" ht="28.5" customHeight="1" x14ac:dyDescent="0.45">
      <c r="A11" s="15">
        <v>32</v>
      </c>
      <c r="B11" s="187" t="s">
        <v>209</v>
      </c>
      <c r="C11" s="170"/>
      <c r="D11" s="170"/>
      <c r="E11" s="170"/>
      <c r="F11" s="170"/>
      <c r="G11" s="171"/>
      <c r="H11" s="184"/>
      <c r="I11" s="185"/>
      <c r="J11" s="185"/>
      <c r="K11" s="185"/>
      <c r="L11" s="186"/>
    </row>
    <row r="12" spans="1:12" s="1" customFormat="1" ht="17.45" customHeight="1" x14ac:dyDescent="0.45">
      <c r="A12" s="12">
        <v>33</v>
      </c>
      <c r="B12" s="13" t="s">
        <v>46</v>
      </c>
      <c r="C12" s="14"/>
      <c r="D12" s="14"/>
      <c r="E12" s="14"/>
      <c r="F12" s="14"/>
      <c r="G12" s="14"/>
      <c r="H12" s="165"/>
      <c r="I12" s="138"/>
      <c r="J12" s="138"/>
      <c r="K12" s="138"/>
      <c r="L12" s="166"/>
    </row>
    <row r="13" spans="1:12" s="6" customFormat="1" ht="27.75" customHeight="1" x14ac:dyDescent="0.45">
      <c r="A13" s="15">
        <v>34</v>
      </c>
      <c r="B13" s="187" t="s">
        <v>148</v>
      </c>
      <c r="C13" s="170"/>
      <c r="D13" s="170"/>
      <c r="E13" s="170"/>
      <c r="F13" s="170"/>
      <c r="G13" s="171"/>
      <c r="H13" s="184"/>
      <c r="I13" s="185"/>
      <c r="J13" s="185"/>
      <c r="K13" s="185"/>
      <c r="L13" s="186"/>
    </row>
    <row r="14" spans="1:12" s="1" customFormat="1" ht="17.45" customHeight="1" x14ac:dyDescent="0.45">
      <c r="A14" s="12">
        <v>35</v>
      </c>
      <c r="B14" s="16" t="s">
        <v>149</v>
      </c>
      <c r="C14" s="14"/>
      <c r="D14" s="14"/>
      <c r="E14" s="14"/>
      <c r="F14" s="14"/>
      <c r="G14" s="14"/>
      <c r="H14" s="178">
        <f>SUM(H3:H13)</f>
        <v>733688049</v>
      </c>
      <c r="I14" s="179"/>
      <c r="J14" s="179"/>
      <c r="K14" s="179"/>
      <c r="L14" s="180"/>
    </row>
    <row r="15" spans="1:12" s="1" customFormat="1" ht="17.45" customHeight="1" x14ac:dyDescent="0.45">
      <c r="A15" s="12">
        <v>36</v>
      </c>
      <c r="B15" s="13" t="s">
        <v>47</v>
      </c>
      <c r="C15" s="14"/>
      <c r="D15" s="14"/>
      <c r="E15" s="14"/>
      <c r="F15" s="14"/>
      <c r="G15" s="14"/>
      <c r="H15" s="165"/>
      <c r="I15" s="138"/>
      <c r="J15" s="138"/>
      <c r="K15" s="138"/>
      <c r="L15" s="166"/>
    </row>
    <row r="16" spans="1:12" s="1" customFormat="1" ht="17.45" customHeight="1" x14ac:dyDescent="0.45">
      <c r="A16" s="12">
        <v>37</v>
      </c>
      <c r="B16" s="13" t="s">
        <v>48</v>
      </c>
      <c r="C16" s="14"/>
      <c r="D16" s="14"/>
      <c r="E16" s="14"/>
      <c r="F16" s="14"/>
      <c r="G16" s="14"/>
      <c r="H16" s="165">
        <v>695295648</v>
      </c>
      <c r="I16" s="138"/>
      <c r="J16" s="138"/>
      <c r="K16" s="138"/>
      <c r="L16" s="166"/>
    </row>
    <row r="17" spans="1:12" s="1" customFormat="1" ht="17.45" customHeight="1" x14ac:dyDescent="0.45">
      <c r="A17" s="12">
        <v>38</v>
      </c>
      <c r="B17" s="13" t="s">
        <v>49</v>
      </c>
      <c r="C17" s="14"/>
      <c r="D17" s="14"/>
      <c r="E17" s="14"/>
      <c r="F17" s="14"/>
      <c r="G17" s="14"/>
      <c r="H17" s="165"/>
      <c r="I17" s="138"/>
      <c r="J17" s="138"/>
      <c r="K17" s="138"/>
      <c r="L17" s="166"/>
    </row>
    <row r="18" spans="1:12" s="5" customFormat="1" ht="17.45" customHeight="1" x14ac:dyDescent="0.45">
      <c r="A18" s="17">
        <v>39</v>
      </c>
      <c r="B18" s="16" t="s">
        <v>150</v>
      </c>
      <c r="C18" s="18"/>
      <c r="D18" s="18"/>
      <c r="E18" s="18"/>
      <c r="F18" s="18"/>
      <c r="G18" s="18"/>
      <c r="H18" s="177">
        <v>695295648</v>
      </c>
      <c r="I18" s="175"/>
      <c r="J18" s="175"/>
      <c r="K18" s="175"/>
      <c r="L18" s="176"/>
    </row>
    <row r="19" spans="1:12" s="1" customFormat="1" ht="17.45" customHeight="1" x14ac:dyDescent="0.45">
      <c r="A19" s="12">
        <v>40</v>
      </c>
      <c r="B19" s="13" t="s">
        <v>50</v>
      </c>
      <c r="C19" s="14"/>
      <c r="D19" s="14"/>
      <c r="E19" s="14"/>
      <c r="F19" s="14"/>
      <c r="G19" s="14"/>
      <c r="H19" s="165"/>
      <c r="I19" s="138"/>
      <c r="J19" s="138"/>
      <c r="K19" s="138"/>
      <c r="L19" s="166"/>
    </row>
    <row r="20" spans="1:12" s="1" customFormat="1" ht="17.45" customHeight="1" x14ac:dyDescent="0.45">
      <c r="A20" s="12">
        <v>41</v>
      </c>
      <c r="B20" s="13" t="s">
        <v>51</v>
      </c>
      <c r="C20" s="14"/>
      <c r="D20" s="14"/>
      <c r="E20" s="14"/>
      <c r="F20" s="14"/>
      <c r="G20" s="14"/>
      <c r="H20" s="165"/>
      <c r="I20" s="138"/>
      <c r="J20" s="138"/>
      <c r="K20" s="138"/>
      <c r="L20" s="166"/>
    </row>
    <row r="21" spans="1:12" s="1" customFormat="1" ht="17.45" customHeight="1" x14ac:dyDescent="0.45">
      <c r="A21" s="12">
        <v>42</v>
      </c>
      <c r="B21" s="13" t="s">
        <v>52</v>
      </c>
      <c r="C21" s="14"/>
      <c r="D21" s="14"/>
      <c r="E21" s="14"/>
      <c r="F21" s="14"/>
      <c r="G21" s="14"/>
      <c r="H21" s="165"/>
      <c r="I21" s="138"/>
      <c r="J21" s="138"/>
      <c r="K21" s="138"/>
      <c r="L21" s="166"/>
    </row>
    <row r="22" spans="1:12" s="7" customFormat="1" ht="17.25" customHeight="1" x14ac:dyDescent="0.45">
      <c r="A22" s="19">
        <v>43</v>
      </c>
      <c r="B22" s="169" t="s">
        <v>151</v>
      </c>
      <c r="C22" s="170"/>
      <c r="D22" s="170"/>
      <c r="E22" s="170"/>
      <c r="F22" s="170"/>
      <c r="G22" s="171"/>
      <c r="H22" s="181"/>
      <c r="I22" s="182"/>
      <c r="J22" s="182"/>
      <c r="K22" s="182"/>
      <c r="L22" s="183"/>
    </row>
    <row r="23" spans="1:12" s="1" customFormat="1" ht="17.45" customHeight="1" x14ac:dyDescent="0.45">
      <c r="A23" s="12">
        <v>44</v>
      </c>
      <c r="B23" s="13" t="s">
        <v>53</v>
      </c>
      <c r="C23" s="14"/>
      <c r="D23" s="14"/>
      <c r="E23" s="14"/>
      <c r="F23" s="14"/>
      <c r="G23" s="14"/>
      <c r="H23" s="165"/>
      <c r="I23" s="138"/>
      <c r="J23" s="138"/>
      <c r="K23" s="138"/>
      <c r="L23" s="166"/>
    </row>
    <row r="24" spans="1:12" s="1" customFormat="1" ht="17.45" customHeight="1" x14ac:dyDescent="0.45">
      <c r="A24" s="12">
        <v>45</v>
      </c>
      <c r="B24" s="13" t="s">
        <v>54</v>
      </c>
      <c r="C24" s="14"/>
      <c r="D24" s="14"/>
      <c r="E24" s="14"/>
      <c r="F24" s="14"/>
      <c r="G24" s="14"/>
      <c r="H24" s="165">
        <v>6157990</v>
      </c>
      <c r="I24" s="138"/>
      <c r="J24" s="138"/>
      <c r="K24" s="138"/>
      <c r="L24" s="166"/>
    </row>
    <row r="25" spans="1:12" s="1" customFormat="1" ht="17.45" customHeight="1" x14ac:dyDescent="0.45">
      <c r="A25" s="12">
        <v>46</v>
      </c>
      <c r="B25" s="13" t="s">
        <v>55</v>
      </c>
      <c r="C25" s="14"/>
      <c r="D25" s="14"/>
      <c r="E25" s="14"/>
      <c r="F25" s="14"/>
      <c r="G25" s="14"/>
      <c r="H25" s="165"/>
      <c r="I25" s="138"/>
      <c r="J25" s="138"/>
      <c r="K25" s="138"/>
      <c r="L25" s="166"/>
    </row>
    <row r="26" spans="1:12" s="5" customFormat="1" ht="17.45" customHeight="1" x14ac:dyDescent="0.45">
      <c r="A26" s="17">
        <v>47</v>
      </c>
      <c r="B26" s="16" t="s">
        <v>152</v>
      </c>
      <c r="C26" s="18"/>
      <c r="D26" s="18"/>
      <c r="E26" s="18"/>
      <c r="F26" s="18"/>
      <c r="G26" s="18"/>
      <c r="H26" s="177">
        <v>6157990</v>
      </c>
      <c r="I26" s="175"/>
      <c r="J26" s="175"/>
      <c r="K26" s="175"/>
      <c r="L26" s="176"/>
    </row>
    <row r="27" spans="1:12" s="1" customFormat="1" ht="17.45" customHeight="1" x14ac:dyDescent="0.45">
      <c r="A27" s="12">
        <v>48</v>
      </c>
      <c r="B27" s="13" t="s">
        <v>56</v>
      </c>
      <c r="C27" s="14"/>
      <c r="D27" s="14"/>
      <c r="E27" s="14"/>
      <c r="F27" s="14"/>
      <c r="G27" s="14"/>
      <c r="H27" s="165"/>
      <c r="I27" s="138"/>
      <c r="J27" s="138"/>
      <c r="K27" s="138"/>
      <c r="L27" s="166"/>
    </row>
    <row r="28" spans="1:12" s="1" customFormat="1" ht="17.45" customHeight="1" x14ac:dyDescent="0.45">
      <c r="A28" s="12">
        <v>49</v>
      </c>
      <c r="B28" s="13" t="s">
        <v>57</v>
      </c>
      <c r="C28" s="14"/>
      <c r="D28" s="14"/>
      <c r="E28" s="14"/>
      <c r="F28" s="14"/>
      <c r="G28" s="14"/>
      <c r="H28" s="165">
        <v>4289012</v>
      </c>
      <c r="I28" s="138"/>
      <c r="J28" s="138"/>
      <c r="K28" s="138"/>
      <c r="L28" s="166"/>
    </row>
    <row r="29" spans="1:12" s="1" customFormat="1" ht="17.45" customHeight="1" x14ac:dyDescent="0.45">
      <c r="A29" s="12">
        <v>50</v>
      </c>
      <c r="B29" s="13" t="s">
        <v>58</v>
      </c>
      <c r="C29" s="14"/>
      <c r="D29" s="14"/>
      <c r="E29" s="14"/>
      <c r="F29" s="14"/>
      <c r="G29" s="14"/>
      <c r="H29" s="165">
        <v>1139288</v>
      </c>
      <c r="I29" s="138"/>
      <c r="J29" s="138"/>
      <c r="K29" s="138"/>
      <c r="L29" s="166"/>
    </row>
    <row r="30" spans="1:12" s="1" customFormat="1" ht="17.45" customHeight="1" x14ac:dyDescent="0.45">
      <c r="A30" s="12">
        <v>51</v>
      </c>
      <c r="B30" s="13" t="s">
        <v>59</v>
      </c>
      <c r="C30" s="14"/>
      <c r="D30" s="14"/>
      <c r="E30" s="14"/>
      <c r="F30" s="14"/>
      <c r="G30" s="14"/>
      <c r="H30" s="165"/>
      <c r="I30" s="138"/>
      <c r="J30" s="138"/>
      <c r="K30" s="138"/>
      <c r="L30" s="166"/>
    </row>
    <row r="31" spans="1:12" s="1" customFormat="1" ht="17.45" customHeight="1" x14ac:dyDescent="0.45">
      <c r="A31" s="12">
        <v>52</v>
      </c>
      <c r="B31" s="13" t="s">
        <v>60</v>
      </c>
      <c r="C31" s="14"/>
      <c r="D31" s="14"/>
      <c r="E31" s="14"/>
      <c r="F31" s="14"/>
      <c r="G31" s="14"/>
      <c r="H31" s="165">
        <v>1309440</v>
      </c>
      <c r="I31" s="138"/>
      <c r="J31" s="138"/>
      <c r="K31" s="138"/>
      <c r="L31" s="166"/>
    </row>
    <row r="32" spans="1:12" s="1" customFormat="1" ht="17.45" customHeight="1" x14ac:dyDescent="0.45">
      <c r="A32" s="12">
        <v>53</v>
      </c>
      <c r="B32" s="13" t="s">
        <v>61</v>
      </c>
      <c r="C32" s="14"/>
      <c r="D32" s="14"/>
      <c r="E32" s="14"/>
      <c r="F32" s="14"/>
      <c r="G32" s="14"/>
      <c r="H32" s="165">
        <v>1231473</v>
      </c>
      <c r="I32" s="138"/>
      <c r="J32" s="138"/>
      <c r="K32" s="138"/>
      <c r="L32" s="166"/>
    </row>
    <row r="33" spans="1:12" s="1" customFormat="1" ht="17.45" customHeight="1" x14ac:dyDescent="0.45">
      <c r="A33" s="12">
        <v>54</v>
      </c>
      <c r="B33" s="13" t="s">
        <v>62</v>
      </c>
      <c r="C33" s="14"/>
      <c r="D33" s="14"/>
      <c r="E33" s="14"/>
      <c r="F33" s="14"/>
      <c r="G33" s="14"/>
      <c r="H33" s="165">
        <v>296297</v>
      </c>
      <c r="I33" s="138"/>
      <c r="J33" s="138"/>
      <c r="K33" s="138"/>
      <c r="L33" s="166"/>
    </row>
    <row r="34" spans="1:12" s="1" customFormat="1" ht="17.45" customHeight="1" x14ac:dyDescent="0.45">
      <c r="A34" s="12">
        <v>55</v>
      </c>
      <c r="B34" s="16" t="s">
        <v>189</v>
      </c>
      <c r="C34" s="14"/>
      <c r="D34" s="14"/>
      <c r="E34" s="14"/>
      <c r="F34" s="14"/>
      <c r="G34" s="14"/>
      <c r="H34" s="178">
        <f>SUM(H27:H33)</f>
        <v>8265510</v>
      </c>
      <c r="I34" s="179"/>
      <c r="J34" s="179"/>
      <c r="K34" s="179"/>
      <c r="L34" s="180"/>
    </row>
    <row r="35" spans="1:12" s="1" customFormat="1" ht="17.45" customHeight="1" x14ac:dyDescent="0.45">
      <c r="A35" s="12">
        <v>56</v>
      </c>
      <c r="B35" s="13" t="s">
        <v>63</v>
      </c>
      <c r="C35" s="14"/>
      <c r="D35" s="14"/>
      <c r="E35" s="14"/>
      <c r="F35" s="14"/>
      <c r="G35" s="14"/>
      <c r="H35" s="165"/>
      <c r="I35" s="138"/>
      <c r="J35" s="138"/>
      <c r="K35" s="138"/>
      <c r="L35" s="166"/>
    </row>
    <row r="36" spans="1:12" s="5" customFormat="1" ht="17.45" customHeight="1" x14ac:dyDescent="0.45">
      <c r="A36" s="17">
        <v>57</v>
      </c>
      <c r="B36" s="16" t="s">
        <v>190</v>
      </c>
      <c r="C36" s="20"/>
      <c r="D36" s="18" t="s">
        <v>67</v>
      </c>
      <c r="E36" s="18"/>
      <c r="F36" s="18"/>
      <c r="G36" s="18"/>
      <c r="H36" s="177">
        <v>23968901</v>
      </c>
      <c r="I36" s="175"/>
      <c r="J36" s="175"/>
      <c r="K36" s="175"/>
      <c r="L36" s="176"/>
    </row>
    <row r="37" spans="1:12" s="5" customFormat="1" ht="17.45" customHeight="1" x14ac:dyDescent="0.45">
      <c r="A37" s="17">
        <v>58</v>
      </c>
      <c r="B37" s="117"/>
      <c r="C37" s="20"/>
      <c r="D37" s="16" t="s">
        <v>64</v>
      </c>
      <c r="E37" s="18"/>
      <c r="F37" s="18"/>
      <c r="G37" s="18"/>
      <c r="H37" s="177"/>
      <c r="I37" s="175"/>
      <c r="J37" s="175"/>
      <c r="K37" s="175"/>
      <c r="L37" s="176"/>
    </row>
    <row r="38" spans="1:12" s="1" customFormat="1" ht="17.45" customHeight="1" x14ac:dyDescent="0.45">
      <c r="A38" s="12">
        <v>59</v>
      </c>
      <c r="B38" s="13" t="s">
        <v>65</v>
      </c>
      <c r="C38" s="14"/>
      <c r="D38" s="14"/>
      <c r="E38" s="14"/>
      <c r="F38" s="14"/>
      <c r="G38" s="14"/>
      <c r="H38" s="165"/>
      <c r="I38" s="138"/>
      <c r="J38" s="138"/>
      <c r="K38" s="138"/>
      <c r="L38" s="166"/>
    </row>
    <row r="39" spans="1:12" s="1" customFormat="1" ht="17.45" customHeight="1" x14ac:dyDescent="0.45">
      <c r="A39" s="12">
        <v>60</v>
      </c>
      <c r="B39" s="13" t="s">
        <v>208</v>
      </c>
      <c r="C39" s="14"/>
      <c r="D39" s="14"/>
      <c r="E39" s="14"/>
      <c r="F39" s="14"/>
      <c r="G39" s="14"/>
      <c r="H39" s="165"/>
      <c r="I39" s="138"/>
      <c r="J39" s="138"/>
      <c r="K39" s="138"/>
      <c r="L39" s="166"/>
    </row>
    <row r="40" spans="1:12" s="5" customFormat="1" ht="17.45" customHeight="1" x14ac:dyDescent="0.45">
      <c r="A40" s="17">
        <v>61</v>
      </c>
      <c r="B40" s="16" t="s">
        <v>191</v>
      </c>
      <c r="C40" s="20"/>
      <c r="D40" s="18" t="s">
        <v>67</v>
      </c>
      <c r="E40" s="18"/>
      <c r="F40" s="18"/>
      <c r="G40" s="18"/>
      <c r="H40" s="174">
        <v>23968901</v>
      </c>
      <c r="I40" s="175"/>
      <c r="J40" s="175"/>
      <c r="K40" s="175"/>
      <c r="L40" s="176"/>
    </row>
    <row r="41" spans="1:12" s="5" customFormat="1" ht="17.25" customHeight="1" x14ac:dyDescent="0.45">
      <c r="A41" s="17">
        <v>62</v>
      </c>
      <c r="B41" s="117"/>
      <c r="C41" s="20"/>
      <c r="D41" s="16" t="s">
        <v>193</v>
      </c>
      <c r="E41" s="18"/>
      <c r="F41" s="18"/>
      <c r="G41" s="18"/>
      <c r="H41" s="177"/>
      <c r="I41" s="175"/>
      <c r="J41" s="175"/>
      <c r="K41" s="175"/>
      <c r="L41" s="176"/>
    </row>
    <row r="42" spans="1:12" s="1" customFormat="1" ht="17.45" customHeight="1" x14ac:dyDescent="0.45">
      <c r="A42" s="12">
        <v>63</v>
      </c>
      <c r="B42" s="13" t="s">
        <v>66</v>
      </c>
      <c r="C42" s="14"/>
      <c r="D42" s="14"/>
      <c r="E42" s="14"/>
      <c r="F42" s="14"/>
      <c r="G42" s="14"/>
      <c r="H42" s="165"/>
      <c r="I42" s="138"/>
      <c r="J42" s="138"/>
      <c r="K42" s="138"/>
      <c r="L42" s="166"/>
    </row>
    <row r="43" spans="1:12" s="1" customFormat="1" ht="17.45" customHeight="1" x14ac:dyDescent="0.45">
      <c r="A43" s="12"/>
      <c r="B43" s="13" t="s">
        <v>214</v>
      </c>
      <c r="C43" s="14"/>
      <c r="D43" s="14"/>
      <c r="E43" s="14"/>
      <c r="F43" s="14"/>
      <c r="G43" s="14"/>
      <c r="H43" s="165"/>
      <c r="I43" s="167"/>
      <c r="J43" s="167"/>
      <c r="K43" s="167"/>
      <c r="L43" s="168"/>
    </row>
    <row r="44" spans="1:12" s="5" customFormat="1" ht="17.45" customHeight="1" x14ac:dyDescent="0.45">
      <c r="A44" s="17">
        <v>64</v>
      </c>
      <c r="B44" s="16" t="s">
        <v>215</v>
      </c>
      <c r="C44" s="18"/>
      <c r="D44" s="18"/>
      <c r="E44" s="18"/>
      <c r="F44" s="18"/>
      <c r="G44" s="18"/>
      <c r="H44" s="177">
        <v>23968901</v>
      </c>
      <c r="I44" s="175"/>
      <c r="J44" s="175"/>
      <c r="K44" s="175"/>
      <c r="L44" s="176"/>
    </row>
    <row r="45" spans="1:12" s="1" customFormat="1" ht="11.65" x14ac:dyDescent="0.45">
      <c r="A45" s="172" t="s">
        <v>196</v>
      </c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</row>
  </sheetData>
  <sheetProtection sheet="1" objects="1" scenarios="1"/>
  <mergeCells count="46">
    <mergeCell ref="B11:G11"/>
    <mergeCell ref="B13:G13"/>
    <mergeCell ref="H7:L7"/>
    <mergeCell ref="H8:L8"/>
    <mergeCell ref="H16:L16"/>
    <mergeCell ref="H12:L12"/>
    <mergeCell ref="H14:L14"/>
    <mergeCell ref="H15:L15"/>
    <mergeCell ref="H13:L13"/>
    <mergeCell ref="H3:L3"/>
    <mergeCell ref="H4:L4"/>
    <mergeCell ref="H5:L5"/>
    <mergeCell ref="H6:L6"/>
    <mergeCell ref="H20:L20"/>
    <mergeCell ref="H9:L9"/>
    <mergeCell ref="H10:L10"/>
    <mergeCell ref="H11:L11"/>
    <mergeCell ref="H17:L17"/>
    <mergeCell ref="H18:L18"/>
    <mergeCell ref="H19:L19"/>
    <mergeCell ref="H32:L32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21:L21"/>
    <mergeCell ref="H31:L31"/>
    <mergeCell ref="H43:L43"/>
    <mergeCell ref="B22:G22"/>
    <mergeCell ref="A45:L45"/>
    <mergeCell ref="H38:L38"/>
    <mergeCell ref="H39:L39"/>
    <mergeCell ref="H40:L40"/>
    <mergeCell ref="H41:L41"/>
    <mergeCell ref="H42:L42"/>
    <mergeCell ref="H44:L44"/>
    <mergeCell ref="H33:L33"/>
    <mergeCell ref="H36:L36"/>
    <mergeCell ref="H37:L37"/>
    <mergeCell ref="H34:L34"/>
    <mergeCell ref="H35:L35"/>
  </mergeCells>
  <phoneticPr fontId="0" type="noConversion"/>
  <pageMargins left="0.7" right="0.7" top="0.43" bottom="0.19" header="0.3" footer="0.12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9"/>
  <sheetViews>
    <sheetView showZeros="0" workbookViewId="0">
      <selection activeCell="S25" sqref="S25"/>
    </sheetView>
  </sheetViews>
  <sheetFormatPr baseColWidth="10" defaultColWidth="11" defaultRowHeight="14.25" x14ac:dyDescent="0.45"/>
  <cols>
    <col min="1" max="1" width="3.59765625" style="24" customWidth="1"/>
    <col min="2" max="2" width="21.1328125" style="24" customWidth="1"/>
    <col min="3" max="3" width="12.73046875" style="24" customWidth="1"/>
    <col min="4" max="11" width="3.73046875" style="24" customWidth="1"/>
    <col min="12" max="12" width="3.265625" style="24" customWidth="1"/>
    <col min="13" max="13" width="5.1328125" style="24" customWidth="1"/>
    <col min="14" max="14" width="4.265625" style="24" customWidth="1"/>
    <col min="15" max="15" width="3.265625" style="24" customWidth="1"/>
    <col min="16" max="16" width="1.265625" style="24" customWidth="1"/>
    <col min="17" max="17" width="6" style="24" customWidth="1"/>
    <col min="18" max="18" width="1" style="24" customWidth="1"/>
    <col min="19" max="19" width="12.73046875" style="24" customWidth="1"/>
    <col min="20" max="16384" width="11" style="24"/>
  </cols>
  <sheetData>
    <row r="1" spans="1:19" x14ac:dyDescent="0.45">
      <c r="S1" s="25" t="s">
        <v>194</v>
      </c>
    </row>
    <row r="2" spans="1:19" ht="12" customHeight="1" thickBot="1" x14ac:dyDescent="0.5">
      <c r="A2" s="227" t="s">
        <v>22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</row>
    <row r="3" spans="1:19" x14ac:dyDescent="0.45">
      <c r="A3" s="228" t="s">
        <v>68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6"/>
      <c r="M3" s="230" t="s">
        <v>69</v>
      </c>
      <c r="N3" s="230"/>
      <c r="O3" s="230"/>
      <c r="P3" s="230"/>
      <c r="Q3" s="230"/>
      <c r="R3" s="230"/>
      <c r="S3" s="231"/>
    </row>
    <row r="4" spans="1:19" ht="34.5" customHeight="1" x14ac:dyDescent="0.45">
      <c r="A4" s="27"/>
      <c r="B4" s="28"/>
      <c r="C4" s="29" t="s">
        <v>71</v>
      </c>
      <c r="D4" s="232" t="s">
        <v>72</v>
      </c>
      <c r="E4" s="233"/>
      <c r="F4" s="233"/>
      <c r="G4" s="233"/>
      <c r="H4" s="234" t="s">
        <v>205</v>
      </c>
      <c r="I4" s="235"/>
      <c r="J4" s="235"/>
      <c r="K4" s="235"/>
      <c r="L4" s="30"/>
      <c r="M4" s="235"/>
      <c r="N4" s="235"/>
      <c r="O4" s="235"/>
      <c r="P4" s="235"/>
      <c r="Q4" s="235"/>
      <c r="R4" s="235"/>
      <c r="S4" s="31" t="s">
        <v>70</v>
      </c>
    </row>
    <row r="5" spans="1:19" ht="27" customHeight="1" x14ac:dyDescent="0.45">
      <c r="A5" s="32"/>
      <c r="B5" s="33" t="s">
        <v>73</v>
      </c>
      <c r="C5" s="34"/>
      <c r="D5" s="236"/>
      <c r="E5" s="236"/>
      <c r="F5" s="236"/>
      <c r="G5" s="236"/>
      <c r="H5" s="236"/>
      <c r="I5" s="236"/>
      <c r="J5" s="236"/>
      <c r="K5" s="236"/>
      <c r="L5" s="34"/>
      <c r="M5" s="237" t="s">
        <v>74</v>
      </c>
      <c r="N5" s="237"/>
      <c r="O5" s="237"/>
      <c r="P5" s="237"/>
      <c r="Q5" s="237"/>
      <c r="R5" s="237"/>
      <c r="S5" s="124"/>
    </row>
    <row r="6" spans="1:19" x14ac:dyDescent="0.45">
      <c r="A6" s="35">
        <v>65</v>
      </c>
      <c r="B6" s="36" t="s">
        <v>77</v>
      </c>
      <c r="C6" s="119"/>
      <c r="D6" s="222"/>
      <c r="E6" s="222"/>
      <c r="F6" s="222"/>
      <c r="G6" s="222"/>
      <c r="H6" s="223"/>
      <c r="I6" s="223"/>
      <c r="J6" s="223"/>
      <c r="K6" s="223"/>
      <c r="L6" s="37">
        <v>91</v>
      </c>
      <c r="M6" s="224" t="s">
        <v>78</v>
      </c>
      <c r="N6" s="224"/>
      <c r="O6" s="224"/>
      <c r="P6" s="224"/>
      <c r="Q6" s="224"/>
      <c r="R6" s="224"/>
      <c r="S6" s="124">
        <v>2000000</v>
      </c>
    </row>
    <row r="7" spans="1:19" ht="17.25" customHeight="1" x14ac:dyDescent="0.45">
      <c r="A7" s="35">
        <v>66</v>
      </c>
      <c r="B7" s="118" t="s">
        <v>114</v>
      </c>
      <c r="C7" s="119"/>
      <c r="D7" s="225"/>
      <c r="E7" s="225"/>
      <c r="F7" s="225"/>
      <c r="G7" s="225"/>
      <c r="H7" s="225"/>
      <c r="I7" s="225"/>
      <c r="J7" s="225"/>
      <c r="K7" s="225"/>
      <c r="L7" s="37">
        <v>92</v>
      </c>
      <c r="M7" s="202" t="s">
        <v>99</v>
      </c>
      <c r="N7" s="202"/>
      <c r="O7" s="202"/>
      <c r="P7" s="202"/>
      <c r="Q7" s="202"/>
      <c r="R7" s="202"/>
      <c r="S7" s="124"/>
    </row>
    <row r="8" spans="1:19" x14ac:dyDescent="0.45">
      <c r="A8" s="38"/>
      <c r="B8" s="39" t="s">
        <v>79</v>
      </c>
      <c r="C8" s="120"/>
      <c r="D8" s="226"/>
      <c r="E8" s="226"/>
      <c r="F8" s="226"/>
      <c r="G8" s="226"/>
      <c r="H8" s="226"/>
      <c r="I8" s="226"/>
      <c r="J8" s="226"/>
      <c r="K8" s="226"/>
      <c r="L8" s="37">
        <v>93</v>
      </c>
      <c r="M8" s="202" t="s">
        <v>100</v>
      </c>
      <c r="N8" s="202"/>
      <c r="O8" s="202"/>
      <c r="P8" s="202"/>
      <c r="Q8" s="202"/>
      <c r="R8" s="202"/>
      <c r="S8" s="125">
        <v>-603308</v>
      </c>
    </row>
    <row r="9" spans="1:19" x14ac:dyDescent="0.45">
      <c r="A9" s="35">
        <v>67</v>
      </c>
      <c r="B9" s="36" t="s">
        <v>80</v>
      </c>
      <c r="C9" s="121"/>
      <c r="D9" s="199"/>
      <c r="E9" s="199"/>
      <c r="F9" s="199"/>
      <c r="G9" s="199"/>
      <c r="H9" s="199"/>
      <c r="I9" s="199"/>
      <c r="J9" s="199"/>
      <c r="K9" s="199"/>
      <c r="L9" s="37">
        <v>94</v>
      </c>
      <c r="M9" s="202" t="s">
        <v>101</v>
      </c>
      <c r="N9" s="202"/>
      <c r="O9" s="202"/>
      <c r="P9" s="202"/>
      <c r="Q9" s="202"/>
      <c r="R9" s="202"/>
      <c r="S9" s="124">
        <v>16632901</v>
      </c>
    </row>
    <row r="10" spans="1:19" x14ac:dyDescent="0.45">
      <c r="A10" s="35">
        <v>68</v>
      </c>
      <c r="B10" s="36" t="s">
        <v>81</v>
      </c>
      <c r="C10" s="121"/>
      <c r="D10" s="199"/>
      <c r="E10" s="199"/>
      <c r="F10" s="199"/>
      <c r="G10" s="199"/>
      <c r="H10" s="199"/>
      <c r="I10" s="199"/>
      <c r="J10" s="199"/>
      <c r="K10" s="199"/>
      <c r="L10" s="37">
        <v>95</v>
      </c>
      <c r="M10" s="219" t="s">
        <v>102</v>
      </c>
      <c r="N10" s="220"/>
      <c r="O10" s="220"/>
      <c r="P10" s="220"/>
      <c r="Q10" s="220"/>
      <c r="R10" s="221"/>
      <c r="S10" s="124"/>
    </row>
    <row r="11" spans="1:19" ht="27" customHeight="1" x14ac:dyDescent="0.45">
      <c r="A11" s="35">
        <v>69</v>
      </c>
      <c r="B11" s="36" t="s">
        <v>82</v>
      </c>
      <c r="C11" s="121">
        <v>12717383</v>
      </c>
      <c r="D11" s="199">
        <v>848487</v>
      </c>
      <c r="E11" s="199"/>
      <c r="F11" s="199"/>
      <c r="G11" s="199"/>
      <c r="H11" s="199">
        <v>11868896</v>
      </c>
      <c r="I11" s="199"/>
      <c r="J11" s="199"/>
      <c r="K11" s="199"/>
      <c r="L11" s="37">
        <v>96</v>
      </c>
      <c r="M11" s="202" t="s">
        <v>115</v>
      </c>
      <c r="N11" s="202"/>
      <c r="O11" s="202"/>
      <c r="P11" s="202"/>
      <c r="Q11" s="202"/>
      <c r="R11" s="202"/>
      <c r="S11" s="124"/>
    </row>
    <row r="12" spans="1:19" x14ac:dyDescent="0.45">
      <c r="A12" s="35">
        <v>70</v>
      </c>
      <c r="B12" s="36" t="s">
        <v>212</v>
      </c>
      <c r="C12" s="121">
        <v>20692288</v>
      </c>
      <c r="D12" s="199">
        <v>531119</v>
      </c>
      <c r="E12" s="199"/>
      <c r="F12" s="199"/>
      <c r="G12" s="199"/>
      <c r="H12" s="199">
        <v>20161169</v>
      </c>
      <c r="I12" s="199"/>
      <c r="J12" s="199"/>
      <c r="K12" s="199"/>
      <c r="L12" s="37"/>
      <c r="M12" s="202"/>
      <c r="N12" s="202"/>
      <c r="O12" s="202"/>
      <c r="P12" s="202"/>
      <c r="Q12" s="202"/>
      <c r="R12" s="202"/>
      <c r="S12" s="124"/>
    </row>
    <row r="13" spans="1:19" x14ac:dyDescent="0.45">
      <c r="A13" s="35">
        <v>74</v>
      </c>
      <c r="B13" s="36" t="s">
        <v>211</v>
      </c>
      <c r="C13" s="121">
        <v>550000</v>
      </c>
      <c r="D13" s="199">
        <v>228128</v>
      </c>
      <c r="E13" s="199"/>
      <c r="F13" s="199"/>
      <c r="G13" s="199"/>
      <c r="H13" s="199">
        <v>321872</v>
      </c>
      <c r="I13" s="199"/>
      <c r="J13" s="199"/>
      <c r="K13" s="199"/>
      <c r="L13" s="37"/>
      <c r="M13" s="202"/>
      <c r="N13" s="202"/>
      <c r="O13" s="202"/>
      <c r="P13" s="202"/>
      <c r="Q13" s="202"/>
      <c r="R13" s="202"/>
      <c r="S13" s="124"/>
    </row>
    <row r="14" spans="1:19" ht="21" x14ac:dyDescent="0.45">
      <c r="A14" s="35">
        <v>72</v>
      </c>
      <c r="B14" s="36" t="s">
        <v>116</v>
      </c>
      <c r="C14" s="121"/>
      <c r="D14" s="199"/>
      <c r="E14" s="199"/>
      <c r="F14" s="199"/>
      <c r="G14" s="199"/>
      <c r="H14" s="199"/>
      <c r="I14" s="199"/>
      <c r="J14" s="199"/>
      <c r="K14" s="199"/>
      <c r="L14" s="37"/>
      <c r="M14" s="218" t="s">
        <v>153</v>
      </c>
      <c r="N14" s="218"/>
      <c r="O14" s="218"/>
      <c r="P14" s="218"/>
      <c r="Q14" s="218"/>
      <c r="R14" s="218"/>
      <c r="S14" s="124"/>
    </row>
    <row r="15" spans="1:19" x14ac:dyDescent="0.45">
      <c r="A15" s="35">
        <v>73</v>
      </c>
      <c r="B15" s="36" t="s">
        <v>83</v>
      </c>
      <c r="C15" s="121">
        <v>320000</v>
      </c>
      <c r="D15" s="199"/>
      <c r="E15" s="199"/>
      <c r="F15" s="199"/>
      <c r="G15" s="199"/>
      <c r="H15" s="199">
        <v>320000</v>
      </c>
      <c r="I15" s="199"/>
      <c r="J15" s="199"/>
      <c r="K15" s="199"/>
      <c r="L15" s="37">
        <v>97</v>
      </c>
      <c r="M15" s="202" t="s">
        <v>103</v>
      </c>
      <c r="N15" s="202"/>
      <c r="O15" s="202"/>
      <c r="P15" s="202"/>
      <c r="Q15" s="202"/>
      <c r="R15" s="202"/>
      <c r="S15" s="124"/>
    </row>
    <row r="16" spans="1:19" x14ac:dyDescent="0.45">
      <c r="A16" s="35"/>
      <c r="B16" s="188" t="s">
        <v>84</v>
      </c>
      <c r="C16" s="190"/>
      <c r="D16" s="192"/>
      <c r="E16" s="193"/>
      <c r="F16" s="193"/>
      <c r="G16" s="194"/>
      <c r="H16" s="192"/>
      <c r="I16" s="193"/>
      <c r="J16" s="193"/>
      <c r="K16" s="194"/>
      <c r="L16" s="37">
        <v>98</v>
      </c>
      <c r="M16" s="202" t="s">
        <v>104</v>
      </c>
      <c r="N16" s="202"/>
      <c r="O16" s="202"/>
      <c r="P16" s="202"/>
      <c r="Q16" s="202"/>
      <c r="R16" s="202"/>
      <c r="S16" s="200"/>
    </row>
    <row r="17" spans="1:19" x14ac:dyDescent="0.45">
      <c r="A17" s="35"/>
      <c r="B17" s="189"/>
      <c r="C17" s="191"/>
      <c r="D17" s="195"/>
      <c r="E17" s="196"/>
      <c r="F17" s="196"/>
      <c r="G17" s="197"/>
      <c r="H17" s="195"/>
      <c r="I17" s="196"/>
      <c r="J17" s="196"/>
      <c r="K17" s="197"/>
      <c r="L17" s="37"/>
      <c r="M17" s="203" t="s">
        <v>15</v>
      </c>
      <c r="N17" s="204"/>
      <c r="O17" s="204"/>
      <c r="P17" s="204"/>
      <c r="Q17" s="204"/>
      <c r="R17" s="205"/>
      <c r="S17" s="201"/>
    </row>
    <row r="18" spans="1:19" x14ac:dyDescent="0.45">
      <c r="A18" s="35">
        <v>74</v>
      </c>
      <c r="B18" s="36" t="s">
        <v>85</v>
      </c>
      <c r="C18" s="121"/>
      <c r="D18" s="199"/>
      <c r="E18" s="199"/>
      <c r="F18" s="199"/>
      <c r="G18" s="199"/>
      <c r="H18" s="199"/>
      <c r="I18" s="199"/>
      <c r="J18" s="199"/>
      <c r="K18" s="199"/>
      <c r="L18" s="37">
        <v>100</v>
      </c>
      <c r="M18" s="202" t="s">
        <v>105</v>
      </c>
      <c r="N18" s="202"/>
      <c r="O18" s="202"/>
      <c r="P18" s="202"/>
      <c r="Q18" s="202"/>
      <c r="R18" s="202"/>
      <c r="S18" s="124"/>
    </row>
    <row r="19" spans="1:19" ht="25.5" customHeight="1" x14ac:dyDescent="0.45">
      <c r="A19" s="35">
        <v>75</v>
      </c>
      <c r="B19" s="36" t="s">
        <v>86</v>
      </c>
      <c r="C19" s="121"/>
      <c r="D19" s="199"/>
      <c r="E19" s="199"/>
      <c r="F19" s="199"/>
      <c r="G19" s="199"/>
      <c r="H19" s="199"/>
      <c r="I19" s="199"/>
      <c r="J19" s="199"/>
      <c r="K19" s="199"/>
      <c r="L19" s="37">
        <v>101</v>
      </c>
      <c r="M19" s="202" t="s">
        <v>156</v>
      </c>
      <c r="N19" s="202"/>
      <c r="O19" s="202"/>
      <c r="P19" s="202"/>
      <c r="Q19" s="202"/>
      <c r="R19" s="202"/>
      <c r="S19" s="124"/>
    </row>
    <row r="20" spans="1:19" ht="21" x14ac:dyDescent="0.45">
      <c r="A20" s="35">
        <v>76</v>
      </c>
      <c r="B20" s="36" t="s">
        <v>117</v>
      </c>
      <c r="C20" s="121"/>
      <c r="D20" s="199"/>
      <c r="E20" s="199"/>
      <c r="F20" s="199"/>
      <c r="G20" s="199"/>
      <c r="H20" s="199"/>
      <c r="I20" s="199"/>
      <c r="J20" s="199"/>
      <c r="K20" s="199"/>
      <c r="L20" s="37"/>
      <c r="M20" s="216" t="s">
        <v>157</v>
      </c>
      <c r="N20" s="217"/>
      <c r="O20" s="217"/>
      <c r="P20" s="217"/>
      <c r="Q20" s="217"/>
      <c r="R20" s="217"/>
      <c r="S20" s="124"/>
    </row>
    <row r="21" spans="1:19" ht="21.75" customHeight="1" x14ac:dyDescent="0.45">
      <c r="A21" s="35">
        <v>77</v>
      </c>
      <c r="B21" s="36" t="s">
        <v>87</v>
      </c>
      <c r="C21" s="121"/>
      <c r="D21" s="199"/>
      <c r="E21" s="199"/>
      <c r="F21" s="199"/>
      <c r="G21" s="199"/>
      <c r="H21" s="199"/>
      <c r="I21" s="199"/>
      <c r="J21" s="199"/>
      <c r="K21" s="199"/>
      <c r="L21" s="37">
        <v>102</v>
      </c>
      <c r="M21" s="202" t="s">
        <v>158</v>
      </c>
      <c r="N21" s="202"/>
      <c r="O21" s="202"/>
      <c r="P21" s="202"/>
      <c r="Q21" s="202"/>
      <c r="R21" s="202"/>
      <c r="S21" s="124"/>
    </row>
    <row r="22" spans="1:19" x14ac:dyDescent="0.45">
      <c r="A22" s="35">
        <v>78</v>
      </c>
      <c r="B22" s="36" t="s">
        <v>88</v>
      </c>
      <c r="C22" s="121"/>
      <c r="D22" s="199"/>
      <c r="E22" s="199"/>
      <c r="F22" s="199"/>
      <c r="G22" s="199"/>
      <c r="H22" s="199"/>
      <c r="I22" s="199"/>
      <c r="J22" s="199"/>
      <c r="K22" s="199"/>
      <c r="L22" s="37">
        <v>103</v>
      </c>
      <c r="M22" s="202" t="s">
        <v>106</v>
      </c>
      <c r="N22" s="202"/>
      <c r="O22" s="202"/>
      <c r="P22" s="202"/>
      <c r="Q22" s="202"/>
      <c r="R22" s="202"/>
      <c r="S22" s="124"/>
    </row>
    <row r="23" spans="1:19" x14ac:dyDescent="0.45">
      <c r="A23" s="35">
        <v>79</v>
      </c>
      <c r="B23" s="36" t="s">
        <v>89</v>
      </c>
      <c r="C23" s="121"/>
      <c r="D23" s="199"/>
      <c r="E23" s="199"/>
      <c r="F23" s="199"/>
      <c r="G23" s="199"/>
      <c r="H23" s="199"/>
      <c r="I23" s="199"/>
      <c r="J23" s="199"/>
      <c r="K23" s="199"/>
      <c r="L23" s="37">
        <v>104</v>
      </c>
      <c r="M23" s="202" t="s">
        <v>107</v>
      </c>
      <c r="N23" s="202"/>
      <c r="O23" s="202"/>
      <c r="P23" s="202"/>
      <c r="Q23" s="202"/>
      <c r="R23" s="202"/>
      <c r="S23" s="124">
        <v>72316248</v>
      </c>
    </row>
    <row r="24" spans="1:19" x14ac:dyDescent="0.45">
      <c r="A24" s="35">
        <v>80</v>
      </c>
      <c r="B24" s="36" t="s">
        <v>90</v>
      </c>
      <c r="C24" s="121">
        <v>74159956</v>
      </c>
      <c r="D24" s="199"/>
      <c r="E24" s="199"/>
      <c r="F24" s="199"/>
      <c r="G24" s="199"/>
      <c r="H24" s="199">
        <v>74159956</v>
      </c>
      <c r="I24" s="199"/>
      <c r="J24" s="199"/>
      <c r="K24" s="199"/>
      <c r="L24" s="37">
        <v>105</v>
      </c>
      <c r="M24" s="202" t="s">
        <v>108</v>
      </c>
      <c r="N24" s="202"/>
      <c r="O24" s="202"/>
      <c r="P24" s="202"/>
      <c r="Q24" s="202"/>
      <c r="R24" s="202"/>
      <c r="S24" s="124">
        <v>51843697</v>
      </c>
    </row>
    <row r="25" spans="1:19" x14ac:dyDescent="0.45">
      <c r="A25" s="35">
        <v>81</v>
      </c>
      <c r="B25" s="36" t="s">
        <v>91</v>
      </c>
      <c r="C25" s="121"/>
      <c r="D25" s="199"/>
      <c r="E25" s="199"/>
      <c r="F25" s="199"/>
      <c r="G25" s="199"/>
      <c r="H25" s="199"/>
      <c r="I25" s="199"/>
      <c r="J25" s="199"/>
      <c r="K25" s="199"/>
      <c r="L25" s="37">
        <v>106</v>
      </c>
      <c r="M25" s="202" t="s">
        <v>109</v>
      </c>
      <c r="N25" s="202"/>
      <c r="O25" s="202"/>
      <c r="P25" s="202"/>
      <c r="Q25" s="202"/>
      <c r="R25" s="202"/>
      <c r="S25" s="124">
        <v>21020</v>
      </c>
    </row>
    <row r="26" spans="1:19" x14ac:dyDescent="0.45">
      <c r="A26" s="35">
        <v>82</v>
      </c>
      <c r="B26" s="36" t="s">
        <v>92</v>
      </c>
      <c r="C26" s="121">
        <v>38973837</v>
      </c>
      <c r="D26" s="199"/>
      <c r="E26" s="199"/>
      <c r="F26" s="199"/>
      <c r="G26" s="199"/>
      <c r="H26" s="199">
        <v>38973837</v>
      </c>
      <c r="I26" s="199"/>
      <c r="J26" s="199"/>
      <c r="K26" s="199"/>
      <c r="L26" s="37">
        <v>107</v>
      </c>
      <c r="M26" s="202" t="s">
        <v>159</v>
      </c>
      <c r="N26" s="202"/>
      <c r="O26" s="202"/>
      <c r="P26" s="202"/>
      <c r="Q26" s="202"/>
      <c r="R26" s="202"/>
      <c r="S26" s="124">
        <v>12543021</v>
      </c>
    </row>
    <row r="27" spans="1:19" x14ac:dyDescent="0.45">
      <c r="A27" s="35">
        <v>83</v>
      </c>
      <c r="B27" s="36" t="s">
        <v>93</v>
      </c>
      <c r="C27" s="121"/>
      <c r="D27" s="199"/>
      <c r="E27" s="199"/>
      <c r="F27" s="199"/>
      <c r="G27" s="199"/>
      <c r="H27" s="199"/>
      <c r="I27" s="199"/>
      <c r="J27" s="199"/>
      <c r="K27" s="199"/>
      <c r="L27" s="37">
        <v>108</v>
      </c>
      <c r="M27" s="202" t="s">
        <v>110</v>
      </c>
      <c r="N27" s="202"/>
      <c r="O27" s="202"/>
      <c r="P27" s="202"/>
      <c r="Q27" s="202"/>
      <c r="R27" s="202"/>
      <c r="S27" s="124"/>
    </row>
    <row r="28" spans="1:19" x14ac:dyDescent="0.45">
      <c r="A28" s="35">
        <v>84</v>
      </c>
      <c r="B28" s="36" t="s">
        <v>94</v>
      </c>
      <c r="C28" s="121"/>
      <c r="D28" s="199"/>
      <c r="E28" s="199"/>
      <c r="F28" s="199"/>
      <c r="G28" s="199"/>
      <c r="H28" s="199"/>
      <c r="I28" s="199"/>
      <c r="J28" s="199"/>
      <c r="K28" s="199"/>
      <c r="L28" s="37">
        <v>109</v>
      </c>
      <c r="M28" s="202" t="s">
        <v>160</v>
      </c>
      <c r="N28" s="202"/>
      <c r="O28" s="202"/>
      <c r="P28" s="202"/>
      <c r="Q28" s="202"/>
      <c r="R28" s="202"/>
      <c r="S28" s="124">
        <v>10811439</v>
      </c>
    </row>
    <row r="29" spans="1:19" x14ac:dyDescent="0.45">
      <c r="A29" s="35">
        <v>85</v>
      </c>
      <c r="B29" s="36" t="s">
        <v>95</v>
      </c>
      <c r="C29" s="121">
        <v>1381029</v>
      </c>
      <c r="D29" s="199"/>
      <c r="E29" s="199"/>
      <c r="F29" s="199"/>
      <c r="G29" s="199"/>
      <c r="H29" s="199">
        <v>1381029</v>
      </c>
      <c r="I29" s="199"/>
      <c r="J29" s="199"/>
      <c r="K29" s="199"/>
      <c r="L29" s="37">
        <v>110</v>
      </c>
      <c r="M29" s="202" t="s">
        <v>111</v>
      </c>
      <c r="N29" s="202"/>
      <c r="O29" s="202"/>
      <c r="P29" s="202"/>
      <c r="Q29" s="202"/>
      <c r="R29" s="202"/>
      <c r="S29" s="124"/>
    </row>
    <row r="30" spans="1:19" s="42" customFormat="1" x14ac:dyDescent="0.45">
      <c r="A30" s="40"/>
      <c r="B30" s="39" t="s">
        <v>96</v>
      </c>
      <c r="C30" s="122"/>
      <c r="D30" s="214"/>
      <c r="E30" s="214"/>
      <c r="F30" s="214"/>
      <c r="G30" s="214"/>
      <c r="H30" s="214"/>
      <c r="I30" s="214"/>
      <c r="J30" s="214"/>
      <c r="K30" s="214"/>
      <c r="L30" s="41"/>
      <c r="M30" s="215" t="s">
        <v>161</v>
      </c>
      <c r="N30" s="215"/>
      <c r="O30" s="215"/>
      <c r="P30" s="215"/>
      <c r="Q30" s="215"/>
      <c r="R30" s="215"/>
      <c r="S30" s="126"/>
    </row>
    <row r="31" spans="1:19" x14ac:dyDescent="0.45">
      <c r="A31" s="35">
        <v>86</v>
      </c>
      <c r="B31" s="36" t="s">
        <v>97</v>
      </c>
      <c r="C31" s="121"/>
      <c r="D31" s="199"/>
      <c r="E31" s="199"/>
      <c r="F31" s="199"/>
      <c r="G31" s="199"/>
      <c r="H31" s="199"/>
      <c r="I31" s="199"/>
      <c r="J31" s="199"/>
      <c r="K31" s="199"/>
      <c r="L31" s="37">
        <v>111</v>
      </c>
      <c r="M31" s="202" t="s">
        <v>112</v>
      </c>
      <c r="N31" s="202"/>
      <c r="O31" s="202"/>
      <c r="P31" s="202"/>
      <c r="Q31" s="202"/>
      <c r="R31" s="202"/>
      <c r="S31" s="124"/>
    </row>
    <row r="32" spans="1:19" x14ac:dyDescent="0.45">
      <c r="A32" s="35">
        <v>87</v>
      </c>
      <c r="B32" s="36" t="s">
        <v>98</v>
      </c>
      <c r="C32" s="121"/>
      <c r="D32" s="199"/>
      <c r="E32" s="199"/>
      <c r="F32" s="199"/>
      <c r="G32" s="199"/>
      <c r="H32" s="199"/>
      <c r="I32" s="199"/>
      <c r="J32" s="199"/>
      <c r="K32" s="199"/>
      <c r="L32" s="37">
        <v>112</v>
      </c>
      <c r="M32" s="202" t="s">
        <v>113</v>
      </c>
      <c r="N32" s="202"/>
      <c r="O32" s="202"/>
      <c r="P32" s="202"/>
      <c r="Q32" s="202"/>
      <c r="R32" s="202"/>
      <c r="S32" s="124"/>
    </row>
    <row r="33" spans="1:19" ht="15" customHeight="1" x14ac:dyDescent="0.45">
      <c r="A33" s="35">
        <v>88</v>
      </c>
      <c r="B33" s="36" t="s">
        <v>75</v>
      </c>
      <c r="C33" s="121">
        <v>3888029</v>
      </c>
      <c r="D33" s="199"/>
      <c r="E33" s="199"/>
      <c r="F33" s="199"/>
      <c r="G33" s="199"/>
      <c r="H33" s="199">
        <v>3888029</v>
      </c>
      <c r="I33" s="199"/>
      <c r="J33" s="199"/>
      <c r="K33" s="199"/>
      <c r="L33" s="37"/>
      <c r="M33" s="202"/>
      <c r="N33" s="202"/>
      <c r="O33" s="202"/>
      <c r="P33" s="202"/>
      <c r="Q33" s="202"/>
      <c r="R33" s="202"/>
      <c r="S33" s="127"/>
    </row>
    <row r="34" spans="1:19" x14ac:dyDescent="0.45">
      <c r="A34" s="35">
        <v>89</v>
      </c>
      <c r="B34" s="36" t="s">
        <v>76</v>
      </c>
      <c r="C34" s="121">
        <v>14490230</v>
      </c>
      <c r="D34" s="199"/>
      <c r="E34" s="199"/>
      <c r="F34" s="199"/>
      <c r="G34" s="199"/>
      <c r="H34" s="199">
        <v>14490230</v>
      </c>
      <c r="I34" s="199"/>
      <c r="J34" s="199"/>
      <c r="K34" s="199"/>
      <c r="L34" s="37"/>
      <c r="M34" s="202"/>
      <c r="N34" s="202"/>
      <c r="O34" s="202"/>
      <c r="P34" s="202"/>
      <c r="Q34" s="202"/>
      <c r="R34" s="202"/>
      <c r="S34" s="128"/>
    </row>
    <row r="35" spans="1:19" x14ac:dyDescent="0.45">
      <c r="A35" s="43"/>
      <c r="B35" s="44" t="s">
        <v>206</v>
      </c>
      <c r="C35" s="123"/>
      <c r="D35" s="198"/>
      <c r="E35" s="196"/>
      <c r="F35" s="196"/>
      <c r="G35" s="197"/>
      <c r="H35" s="198"/>
      <c r="I35" s="196"/>
      <c r="J35" s="196"/>
      <c r="K35" s="197"/>
      <c r="L35" s="45"/>
      <c r="M35" s="211"/>
      <c r="N35" s="212"/>
      <c r="O35" s="212"/>
      <c r="P35" s="212"/>
      <c r="Q35" s="212"/>
      <c r="R35" s="213"/>
      <c r="S35" s="129"/>
    </row>
    <row r="36" spans="1:19" ht="14.65" thickBot="1" x14ac:dyDescent="0.5">
      <c r="A36" s="46">
        <v>90</v>
      </c>
      <c r="B36" s="47" t="s">
        <v>154</v>
      </c>
      <c r="C36" s="48">
        <f>+SUM(C6:C35)</f>
        <v>167172752</v>
      </c>
      <c r="D36" s="207">
        <f>+SUM(D6:D34)</f>
        <v>1607734</v>
      </c>
      <c r="E36" s="208"/>
      <c r="F36" s="208"/>
      <c r="G36" s="209"/>
      <c r="H36" s="207">
        <f>+C36-D36</f>
        <v>165565018</v>
      </c>
      <c r="I36" s="208"/>
      <c r="J36" s="208"/>
      <c r="K36" s="209"/>
      <c r="L36" s="49">
        <v>113</v>
      </c>
      <c r="M36" s="210" t="s">
        <v>155</v>
      </c>
      <c r="N36" s="210"/>
      <c r="O36" s="210"/>
      <c r="P36" s="210"/>
      <c r="Q36" s="210"/>
      <c r="R36" s="210"/>
      <c r="S36" s="130">
        <f>+SUM(S6:S34)</f>
        <v>165565018</v>
      </c>
    </row>
    <row r="37" spans="1:19" x14ac:dyDescent="0.45">
      <c r="A37" s="206" t="s">
        <v>195</v>
      </c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</row>
    <row r="49" spans="8:8" x14ac:dyDescent="0.45">
      <c r="H49" s="24">
        <v>14490230</v>
      </c>
    </row>
  </sheetData>
  <sheetProtection sheet="1" objects="1" scenarios="1"/>
  <mergeCells count="104">
    <mergeCell ref="A2:S2"/>
    <mergeCell ref="A3:K3"/>
    <mergeCell ref="M3:S3"/>
    <mergeCell ref="D4:G4"/>
    <mergeCell ref="H4:K4"/>
    <mergeCell ref="M4:R4"/>
    <mergeCell ref="D5:G5"/>
    <mergeCell ref="H5:K5"/>
    <mergeCell ref="M5:R5"/>
    <mergeCell ref="D6:G6"/>
    <mergeCell ref="H6:K6"/>
    <mergeCell ref="M6:R6"/>
    <mergeCell ref="D7:G7"/>
    <mergeCell ref="H7:K7"/>
    <mergeCell ref="M7:R7"/>
    <mergeCell ref="D8:G8"/>
    <mergeCell ref="H8:K8"/>
    <mergeCell ref="M8:R8"/>
    <mergeCell ref="D9:G9"/>
    <mergeCell ref="H9:K9"/>
    <mergeCell ref="M9:R9"/>
    <mergeCell ref="D10:G10"/>
    <mergeCell ref="H10:K10"/>
    <mergeCell ref="M10:R10"/>
    <mergeCell ref="D11:G11"/>
    <mergeCell ref="H11:K11"/>
    <mergeCell ref="M11:R11"/>
    <mergeCell ref="D12:G12"/>
    <mergeCell ref="H12:K12"/>
    <mergeCell ref="M12:R12"/>
    <mergeCell ref="D13:G13"/>
    <mergeCell ref="H13:K13"/>
    <mergeCell ref="M13:R13"/>
    <mergeCell ref="D14:G14"/>
    <mergeCell ref="H14:K14"/>
    <mergeCell ref="M14:R14"/>
    <mergeCell ref="D15:G15"/>
    <mergeCell ref="H15:K15"/>
    <mergeCell ref="M15:R15"/>
    <mergeCell ref="M16:R16"/>
    <mergeCell ref="M32:R32"/>
    <mergeCell ref="M29:R29"/>
    <mergeCell ref="D30:G30"/>
    <mergeCell ref="H30:K30"/>
    <mergeCell ref="M30:R30"/>
    <mergeCell ref="M21:R21"/>
    <mergeCell ref="H27:K27"/>
    <mergeCell ref="D29:G29"/>
    <mergeCell ref="H29:K29"/>
    <mergeCell ref="D19:G19"/>
    <mergeCell ref="H19:K19"/>
    <mergeCell ref="M19:R19"/>
    <mergeCell ref="D20:G20"/>
    <mergeCell ref="H20:K20"/>
    <mergeCell ref="M20:R20"/>
    <mergeCell ref="D25:G25"/>
    <mergeCell ref="A37:S37"/>
    <mergeCell ref="D36:G36"/>
    <mergeCell ref="H36:K36"/>
    <mergeCell ref="M36:R36"/>
    <mergeCell ref="M27:R27"/>
    <mergeCell ref="D28:G28"/>
    <mergeCell ref="H28:K28"/>
    <mergeCell ref="M28:R28"/>
    <mergeCell ref="D27:G27"/>
    <mergeCell ref="M35:R35"/>
    <mergeCell ref="D34:G34"/>
    <mergeCell ref="H34:K34"/>
    <mergeCell ref="M34:R34"/>
    <mergeCell ref="S16:S17"/>
    <mergeCell ref="H25:K25"/>
    <mergeCell ref="M23:R23"/>
    <mergeCell ref="D24:G24"/>
    <mergeCell ref="H24:K24"/>
    <mergeCell ref="M24:R24"/>
    <mergeCell ref="D23:G23"/>
    <mergeCell ref="H23:K23"/>
    <mergeCell ref="M33:R33"/>
    <mergeCell ref="M31:R31"/>
    <mergeCell ref="D32:G32"/>
    <mergeCell ref="H32:K32"/>
    <mergeCell ref="D21:G21"/>
    <mergeCell ref="M25:R25"/>
    <mergeCell ref="D22:G22"/>
    <mergeCell ref="H22:K22"/>
    <mergeCell ref="M22:R22"/>
    <mergeCell ref="D26:G26"/>
    <mergeCell ref="H26:K26"/>
    <mergeCell ref="M26:R26"/>
    <mergeCell ref="M17:R17"/>
    <mergeCell ref="D18:G18"/>
    <mergeCell ref="H18:K18"/>
    <mergeCell ref="M18:R18"/>
    <mergeCell ref="B16:B17"/>
    <mergeCell ref="C16:C17"/>
    <mergeCell ref="D16:G17"/>
    <mergeCell ref="H16:K17"/>
    <mergeCell ref="D35:G35"/>
    <mergeCell ref="H35:K35"/>
    <mergeCell ref="D33:G33"/>
    <mergeCell ref="H33:K33"/>
    <mergeCell ref="D31:G31"/>
    <mergeCell ref="H31:K31"/>
    <mergeCell ref="H21:K21"/>
  </mergeCells>
  <phoneticPr fontId="0" type="noConversion"/>
  <pageMargins left="0.14000000000000001" right="0.13" top="0.33" bottom="0.26" header="0.3" footer="0.11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6"/>
  <sheetViews>
    <sheetView showZeros="0" tabSelected="1" workbookViewId="0">
      <selection activeCell="O15" sqref="O15:S15"/>
    </sheetView>
  </sheetViews>
  <sheetFormatPr baseColWidth="10" defaultColWidth="11" defaultRowHeight="14.25" x14ac:dyDescent="0.45"/>
  <cols>
    <col min="1" max="1" width="4.86328125" style="24" customWidth="1"/>
    <col min="2" max="2" width="24.59765625" style="24" customWidth="1"/>
    <col min="3" max="3" width="17.73046875" style="24" customWidth="1"/>
    <col min="4" max="4" width="2.73046875" style="24" customWidth="1"/>
    <col min="5" max="5" width="6.73046875" style="24" customWidth="1"/>
    <col min="6" max="8" width="2.73046875" style="24" customWidth="1"/>
    <col min="9" max="9" width="3.59765625" style="24" customWidth="1"/>
    <col min="10" max="10" width="2.73046875" style="24" customWidth="1"/>
    <col min="11" max="11" width="5.86328125" style="24" customWidth="1"/>
    <col min="12" max="17" width="2.73046875" style="24" customWidth="1"/>
    <col min="18" max="18" width="11" style="24"/>
    <col min="19" max="19" width="2.265625" style="24" customWidth="1"/>
    <col min="20" max="16384" width="11" style="24"/>
  </cols>
  <sheetData>
    <row r="1" spans="1:19" ht="14.65" thickTop="1" x14ac:dyDescent="0.45">
      <c r="A1" s="262" t="s">
        <v>162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4"/>
    </row>
    <row r="2" spans="1:19" x14ac:dyDescent="0.45">
      <c r="A2" s="50">
        <v>114</v>
      </c>
      <c r="B2" s="51" t="s">
        <v>163</v>
      </c>
      <c r="C2" s="52"/>
      <c r="D2" s="53"/>
      <c r="E2" s="53"/>
      <c r="F2" s="53"/>
      <c r="G2" s="53"/>
      <c r="H2" s="52"/>
      <c r="I2" s="52"/>
      <c r="J2" s="52"/>
      <c r="K2" s="52"/>
      <c r="L2" s="53"/>
      <c r="M2" s="54"/>
      <c r="N2" s="54"/>
      <c r="O2" s="250">
        <v>23968901</v>
      </c>
      <c r="P2" s="250"/>
      <c r="Q2" s="250"/>
      <c r="R2" s="250"/>
      <c r="S2" s="251"/>
    </row>
    <row r="3" spans="1:19" x14ac:dyDescent="0.45">
      <c r="A3" s="50">
        <v>115</v>
      </c>
      <c r="B3" s="51" t="s">
        <v>213</v>
      </c>
      <c r="C3" s="52"/>
      <c r="D3" s="53"/>
      <c r="E3" s="53"/>
      <c r="F3" s="53"/>
      <c r="G3" s="53"/>
      <c r="H3" s="52"/>
      <c r="I3" s="52"/>
      <c r="J3" s="52"/>
      <c r="K3" s="52"/>
      <c r="L3" s="53"/>
      <c r="M3" s="54"/>
      <c r="N3" s="54"/>
      <c r="O3" s="250">
        <v>7336000</v>
      </c>
      <c r="P3" s="250"/>
      <c r="Q3" s="250"/>
      <c r="R3" s="250"/>
      <c r="S3" s="251"/>
    </row>
    <row r="4" spans="1:19" x14ac:dyDescent="0.45">
      <c r="A4" s="50">
        <v>116</v>
      </c>
      <c r="B4" s="265" t="s">
        <v>168</v>
      </c>
      <c r="C4" s="51" t="s">
        <v>164</v>
      </c>
      <c r="D4" s="53"/>
      <c r="E4" s="53"/>
      <c r="F4" s="53"/>
      <c r="G4" s="53"/>
      <c r="H4" s="52"/>
      <c r="I4" s="52"/>
      <c r="J4" s="52"/>
      <c r="K4" s="52"/>
      <c r="L4" s="53"/>
      <c r="M4" s="54"/>
      <c r="N4" s="54"/>
      <c r="O4" s="250"/>
      <c r="P4" s="250"/>
      <c r="Q4" s="250"/>
      <c r="R4" s="250"/>
      <c r="S4" s="251"/>
    </row>
    <row r="5" spans="1:19" x14ac:dyDescent="0.45">
      <c r="A5" s="50">
        <v>117</v>
      </c>
      <c r="B5" s="265"/>
      <c r="C5" s="51" t="s">
        <v>165</v>
      </c>
      <c r="D5" s="53"/>
      <c r="E5" s="53"/>
      <c r="F5" s="53"/>
      <c r="G5" s="53"/>
      <c r="H5" s="52"/>
      <c r="I5" s="52"/>
      <c r="J5" s="52"/>
      <c r="K5" s="52"/>
      <c r="L5" s="53"/>
      <c r="M5" s="54"/>
      <c r="N5" s="54"/>
      <c r="O5" s="250">
        <v>7336000</v>
      </c>
      <c r="P5" s="250"/>
      <c r="Q5" s="250"/>
      <c r="R5" s="250"/>
      <c r="S5" s="251"/>
    </row>
    <row r="6" spans="1:19" x14ac:dyDescent="0.45">
      <c r="A6" s="50">
        <v>118</v>
      </c>
      <c r="B6" s="55" t="s">
        <v>201</v>
      </c>
      <c r="C6" s="52"/>
      <c r="D6" s="53"/>
      <c r="E6" s="53"/>
      <c r="F6" s="53"/>
      <c r="G6" s="53"/>
      <c r="H6" s="52"/>
      <c r="I6" s="52"/>
      <c r="J6" s="52"/>
      <c r="K6" s="52"/>
      <c r="L6" s="53"/>
      <c r="M6" s="54"/>
      <c r="N6" s="54"/>
      <c r="O6" s="250"/>
      <c r="P6" s="250"/>
      <c r="Q6" s="250"/>
      <c r="R6" s="250"/>
      <c r="S6" s="251"/>
    </row>
    <row r="7" spans="1:19" x14ac:dyDescent="0.45">
      <c r="A7" s="260">
        <v>119</v>
      </c>
      <c r="B7" s="261"/>
      <c r="C7" s="56" t="s">
        <v>122</v>
      </c>
      <c r="D7" s="53"/>
      <c r="E7" s="53"/>
      <c r="F7" s="53"/>
      <c r="G7" s="53"/>
      <c r="H7" s="52"/>
      <c r="I7" s="52"/>
      <c r="J7" s="52"/>
      <c r="K7" s="52"/>
      <c r="L7" s="53"/>
      <c r="M7" s="54"/>
      <c r="N7" s="54"/>
      <c r="O7" s="250"/>
      <c r="P7" s="250"/>
      <c r="Q7" s="250"/>
      <c r="R7" s="250"/>
      <c r="S7" s="251"/>
    </row>
    <row r="8" spans="1:19" x14ac:dyDescent="0.45">
      <c r="A8" s="260"/>
      <c r="B8" s="261"/>
      <c r="C8" s="51" t="s">
        <v>169</v>
      </c>
      <c r="D8" s="241"/>
      <c r="E8" s="241"/>
      <c r="F8" s="52" t="s">
        <v>170</v>
      </c>
      <c r="G8" s="52"/>
      <c r="H8" s="52"/>
      <c r="I8" s="52"/>
      <c r="J8" s="241"/>
      <c r="K8" s="241"/>
      <c r="L8" s="52"/>
      <c r="M8" s="53"/>
      <c r="N8" s="53"/>
      <c r="O8" s="250"/>
      <c r="P8" s="250"/>
      <c r="Q8" s="250"/>
      <c r="R8" s="250"/>
      <c r="S8" s="251"/>
    </row>
    <row r="9" spans="1:19" x14ac:dyDescent="0.45">
      <c r="A9" s="260"/>
      <c r="B9" s="261"/>
      <c r="C9" s="51" t="s">
        <v>171</v>
      </c>
      <c r="D9" s="243"/>
      <c r="E9" s="243"/>
      <c r="F9" s="52" t="s">
        <v>172</v>
      </c>
      <c r="G9" s="52"/>
      <c r="H9" s="52"/>
      <c r="I9" s="52"/>
      <c r="J9" s="243"/>
      <c r="K9" s="243"/>
      <c r="L9" s="52"/>
      <c r="M9" s="53"/>
      <c r="N9" s="53"/>
      <c r="O9" s="250"/>
      <c r="P9" s="250"/>
      <c r="Q9" s="250"/>
      <c r="R9" s="250"/>
      <c r="S9" s="251"/>
    </row>
    <row r="10" spans="1:19" x14ac:dyDescent="0.45">
      <c r="A10" s="260">
        <v>120</v>
      </c>
      <c r="B10" s="56"/>
      <c r="C10" s="56" t="s">
        <v>173</v>
      </c>
      <c r="D10" s="53"/>
      <c r="E10" s="53"/>
      <c r="F10" s="53"/>
      <c r="G10" s="53"/>
      <c r="H10" s="52"/>
      <c r="I10" s="52"/>
      <c r="J10" s="52"/>
      <c r="K10" s="52"/>
      <c r="L10" s="53"/>
      <c r="M10" s="53"/>
      <c r="N10" s="53"/>
      <c r="O10" s="250"/>
      <c r="P10" s="250"/>
      <c r="Q10" s="250"/>
      <c r="R10" s="250"/>
      <c r="S10" s="251"/>
    </row>
    <row r="11" spans="1:19" x14ac:dyDescent="0.45">
      <c r="A11" s="260"/>
      <c r="B11" s="51"/>
      <c r="C11" s="51" t="s">
        <v>170</v>
      </c>
      <c r="D11" s="241"/>
      <c r="E11" s="241"/>
      <c r="F11" s="52" t="s">
        <v>174</v>
      </c>
      <c r="G11" s="52"/>
      <c r="H11" s="52"/>
      <c r="I11" s="52"/>
      <c r="J11" s="241"/>
      <c r="K11" s="241"/>
      <c r="L11" s="53"/>
      <c r="M11" s="53"/>
      <c r="N11" s="53"/>
      <c r="O11" s="250">
        <f>D11+J11</f>
        <v>0</v>
      </c>
      <c r="P11" s="250"/>
      <c r="Q11" s="250"/>
      <c r="R11" s="250"/>
      <c r="S11" s="251"/>
    </row>
    <row r="12" spans="1:19" x14ac:dyDescent="0.45">
      <c r="A12" s="50">
        <v>121</v>
      </c>
      <c r="B12" s="51" t="s">
        <v>166</v>
      </c>
      <c r="C12" s="52"/>
      <c r="D12" s="53"/>
      <c r="E12" s="53"/>
      <c r="F12" s="53"/>
      <c r="G12" s="53"/>
      <c r="H12" s="52"/>
      <c r="I12" s="52"/>
      <c r="J12" s="52"/>
      <c r="K12" s="52"/>
      <c r="L12" s="53"/>
      <c r="M12" s="54"/>
      <c r="N12" s="54"/>
      <c r="O12" s="250"/>
      <c r="P12" s="250"/>
      <c r="Q12" s="250"/>
      <c r="R12" s="250"/>
      <c r="S12" s="251"/>
    </row>
    <row r="13" spans="1:19" x14ac:dyDescent="0.45">
      <c r="A13" s="50"/>
      <c r="B13" s="51" t="s">
        <v>123</v>
      </c>
      <c r="C13" s="52"/>
      <c r="D13" s="53"/>
      <c r="E13" s="53"/>
      <c r="F13" s="53"/>
      <c r="G13" s="53"/>
      <c r="H13" s="52"/>
      <c r="I13" s="52"/>
      <c r="J13" s="52"/>
      <c r="K13" s="52"/>
      <c r="L13" s="53"/>
      <c r="M13" s="54"/>
      <c r="N13" s="54"/>
      <c r="O13" s="250"/>
      <c r="P13" s="250"/>
      <c r="Q13" s="250"/>
      <c r="R13" s="250"/>
      <c r="S13" s="251"/>
    </row>
    <row r="14" spans="1:19" x14ac:dyDescent="0.45">
      <c r="A14" s="50">
        <v>122</v>
      </c>
      <c r="B14" s="51" t="s">
        <v>167</v>
      </c>
      <c r="C14" s="52"/>
      <c r="D14" s="53"/>
      <c r="E14" s="53"/>
      <c r="F14" s="53"/>
      <c r="G14" s="53"/>
      <c r="H14" s="52"/>
      <c r="I14" s="52"/>
      <c r="J14" s="52"/>
      <c r="K14" s="52"/>
      <c r="L14" s="53"/>
      <c r="M14" s="54"/>
      <c r="N14" s="54"/>
      <c r="O14" s="250">
        <f xml:space="preserve">  O4 + O5  - O8 - O9 -O11 - O12 - O13</f>
        <v>7336000</v>
      </c>
      <c r="P14" s="250"/>
      <c r="Q14" s="250"/>
      <c r="R14" s="250"/>
      <c r="S14" s="251"/>
    </row>
    <row r="15" spans="1:19" x14ac:dyDescent="0.45">
      <c r="A15" s="50">
        <v>121</v>
      </c>
      <c r="B15" s="51" t="s">
        <v>177</v>
      </c>
      <c r="C15" s="52"/>
      <c r="D15" s="57" t="s">
        <v>179</v>
      </c>
      <c r="E15" s="57"/>
      <c r="F15" s="57"/>
      <c r="G15" s="57"/>
      <c r="H15" s="57"/>
      <c r="I15" s="57"/>
      <c r="J15" s="57"/>
      <c r="K15" s="52" t="s">
        <v>175</v>
      </c>
      <c r="L15" s="52"/>
      <c r="M15" s="52"/>
      <c r="N15" s="52"/>
      <c r="O15" s="250">
        <f>(O4+O5)/4</f>
        <v>1834000</v>
      </c>
      <c r="P15" s="250"/>
      <c r="Q15" s="250"/>
      <c r="R15" s="250"/>
      <c r="S15" s="251"/>
    </row>
    <row r="16" spans="1:19" ht="14.65" thickBot="1" x14ac:dyDescent="0.5">
      <c r="A16" s="58"/>
      <c r="B16" s="59"/>
      <c r="C16" s="60"/>
      <c r="D16" s="61" t="s">
        <v>178</v>
      </c>
      <c r="E16" s="61"/>
      <c r="F16" s="61"/>
      <c r="G16" s="61"/>
      <c r="H16" s="61"/>
      <c r="I16" s="61"/>
      <c r="J16" s="61"/>
      <c r="K16" s="60" t="s">
        <v>176</v>
      </c>
      <c r="L16" s="62"/>
      <c r="M16" s="63"/>
      <c r="N16" s="63"/>
      <c r="O16" s="258">
        <f>(O4+O5)/2</f>
        <v>3668000</v>
      </c>
      <c r="P16" s="258"/>
      <c r="Q16" s="258"/>
      <c r="R16" s="258"/>
      <c r="S16" s="259"/>
    </row>
    <row r="17" spans="1:19" ht="14.65" thickTop="1" x14ac:dyDescent="0.45">
      <c r="A17" s="64" t="s">
        <v>124</v>
      </c>
      <c r="B17" s="65"/>
      <c r="C17" s="52"/>
      <c r="D17" s="57"/>
      <c r="E17" s="57"/>
      <c r="F17" s="57"/>
      <c r="G17" s="57"/>
      <c r="H17" s="57"/>
      <c r="I17" s="57"/>
      <c r="J17" s="57"/>
      <c r="K17" s="52"/>
      <c r="L17" s="53"/>
      <c r="M17" s="54"/>
      <c r="N17" s="54"/>
      <c r="O17" s="54"/>
      <c r="P17" s="54"/>
      <c r="Q17" s="54"/>
      <c r="R17" s="54"/>
      <c r="S17" s="54"/>
    </row>
    <row r="18" spans="1:19" ht="14.65" thickBot="1" x14ac:dyDescent="0.5">
      <c r="A18" s="252" t="s">
        <v>23</v>
      </c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4"/>
    </row>
    <row r="19" spans="1:19" ht="14.65" thickTop="1" x14ac:dyDescent="0.45">
      <c r="A19" s="66"/>
      <c r="B19" s="67" t="s">
        <v>180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68"/>
    </row>
    <row r="20" spans="1:19" x14ac:dyDescent="0.45">
      <c r="A20" s="66"/>
      <c r="B20" s="67" t="s">
        <v>125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68"/>
    </row>
    <row r="21" spans="1:19" x14ac:dyDescent="0.45">
      <c r="A21" s="66"/>
      <c r="B21" s="67" t="s">
        <v>126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68"/>
    </row>
    <row r="22" spans="1:19" x14ac:dyDescent="0.45">
      <c r="A22" s="66"/>
      <c r="B22" s="67" t="s">
        <v>181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68"/>
    </row>
    <row r="23" spans="1:19" x14ac:dyDescent="0.45">
      <c r="A23" s="66"/>
      <c r="B23" s="67" t="s">
        <v>127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68"/>
    </row>
    <row r="24" spans="1:19" x14ac:dyDescent="0.45">
      <c r="A24" s="66"/>
      <c r="B24" s="67" t="s">
        <v>182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68"/>
    </row>
    <row r="25" spans="1:19" x14ac:dyDescent="0.45">
      <c r="A25" s="66"/>
      <c r="B25" s="67" t="s">
        <v>192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68"/>
    </row>
    <row r="26" spans="1:19" x14ac:dyDescent="0.45">
      <c r="A26" s="66"/>
      <c r="B26" s="67" t="s">
        <v>128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68"/>
    </row>
    <row r="27" spans="1:19" x14ac:dyDescent="0.45">
      <c r="A27" s="66"/>
      <c r="B27" s="67" t="s">
        <v>129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68"/>
    </row>
    <row r="28" spans="1:19" x14ac:dyDescent="0.45">
      <c r="A28" s="66"/>
      <c r="B28" s="67" t="s">
        <v>130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68"/>
    </row>
    <row r="29" spans="1:19" x14ac:dyDescent="0.45">
      <c r="A29" s="66"/>
      <c r="B29" s="67" t="s">
        <v>131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68"/>
    </row>
    <row r="30" spans="1:19" x14ac:dyDescent="0.45">
      <c r="A30" s="66"/>
      <c r="B30" s="67" t="s">
        <v>132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68"/>
    </row>
    <row r="31" spans="1:19" x14ac:dyDescent="0.45">
      <c r="A31" s="66"/>
      <c r="B31" s="67" t="s">
        <v>183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68"/>
    </row>
    <row r="32" spans="1:19" x14ac:dyDescent="0.45">
      <c r="A32" s="66"/>
      <c r="B32" s="67" t="s">
        <v>133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68"/>
    </row>
    <row r="33" spans="1:19" x14ac:dyDescent="0.45">
      <c r="A33" s="14"/>
      <c r="B33" s="13" t="s">
        <v>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 x14ac:dyDescent="0.45">
      <c r="A34" s="69"/>
      <c r="B34" s="70"/>
      <c r="C34" s="71"/>
      <c r="D34" s="71"/>
      <c r="E34" s="71"/>
      <c r="F34" s="71"/>
      <c r="G34" s="71"/>
      <c r="H34" s="71"/>
      <c r="I34" s="70" t="s">
        <v>118</v>
      </c>
      <c r="J34" s="71"/>
      <c r="K34" s="71"/>
      <c r="L34" s="71"/>
      <c r="M34" s="71"/>
      <c r="N34" s="71"/>
      <c r="O34" s="71"/>
      <c r="P34" s="71"/>
      <c r="Q34" s="71"/>
      <c r="R34" s="71"/>
      <c r="S34" s="72"/>
    </row>
    <row r="35" spans="1:19" x14ac:dyDescent="0.45">
      <c r="A35" s="66"/>
      <c r="B35" s="13"/>
      <c r="C35" s="14"/>
      <c r="D35" s="14"/>
      <c r="E35" s="14"/>
      <c r="F35" s="14"/>
      <c r="G35" s="14"/>
      <c r="H35" s="14"/>
      <c r="I35" s="13" t="s">
        <v>120</v>
      </c>
      <c r="J35" s="14"/>
      <c r="K35" s="14"/>
      <c r="L35" s="14"/>
      <c r="M35" s="14"/>
      <c r="N35" s="14"/>
      <c r="O35" s="14" t="s">
        <v>119</v>
      </c>
      <c r="P35" s="14"/>
      <c r="Q35" s="14"/>
      <c r="R35" s="14"/>
      <c r="S35" s="68"/>
    </row>
    <row r="36" spans="1:19" x14ac:dyDescent="0.45">
      <c r="A36" s="66"/>
      <c r="B36" s="13"/>
      <c r="C36" s="14"/>
      <c r="D36" s="14"/>
      <c r="E36" s="14"/>
      <c r="F36" s="14"/>
      <c r="G36" s="14"/>
      <c r="H36" s="14"/>
      <c r="I36" s="13" t="s">
        <v>199</v>
      </c>
      <c r="J36" s="14"/>
      <c r="K36" s="14"/>
      <c r="L36" s="14"/>
      <c r="M36" s="14"/>
      <c r="N36" s="14"/>
      <c r="O36" s="14"/>
      <c r="P36" s="14"/>
      <c r="Q36" s="14"/>
      <c r="R36" s="14"/>
      <c r="S36" s="68"/>
    </row>
    <row r="37" spans="1:19" x14ac:dyDescent="0.45">
      <c r="A37" s="22"/>
      <c r="B37" s="21"/>
      <c r="C37" s="22"/>
      <c r="D37" s="22"/>
      <c r="E37" s="22"/>
      <c r="F37" s="22"/>
      <c r="G37" s="22"/>
      <c r="H37" s="22"/>
      <c r="I37" s="21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1:19" ht="14.65" thickBot="1" x14ac:dyDescent="0.5">
      <c r="A38" s="14"/>
      <c r="B38" s="13"/>
      <c r="C38" s="14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14"/>
    </row>
    <row r="39" spans="1:19" x14ac:dyDescent="0.45">
      <c r="A39" s="255" t="s">
        <v>184</v>
      </c>
      <c r="B39" s="256"/>
      <c r="C39" s="256"/>
      <c r="D39" s="256"/>
      <c r="E39" s="256"/>
      <c r="F39" s="256"/>
      <c r="G39" s="257"/>
      <c r="H39" s="71"/>
      <c r="I39" s="247" t="s">
        <v>24</v>
      </c>
      <c r="J39" s="248"/>
      <c r="K39" s="248"/>
      <c r="L39" s="248"/>
      <c r="M39" s="248"/>
      <c r="N39" s="248"/>
      <c r="O39" s="248"/>
      <c r="P39" s="248"/>
      <c r="Q39" s="248"/>
      <c r="R39" s="248"/>
      <c r="S39" s="249"/>
    </row>
    <row r="40" spans="1:19" x14ac:dyDescent="0.45">
      <c r="A40" s="74" t="s">
        <v>134</v>
      </c>
      <c r="B40" s="52"/>
      <c r="C40" s="52"/>
      <c r="D40" s="52"/>
      <c r="E40" s="52"/>
      <c r="F40" s="52"/>
      <c r="G40" s="75"/>
      <c r="H40" s="52"/>
      <c r="I40" s="74" t="s">
        <v>185</v>
      </c>
      <c r="J40" s="52"/>
      <c r="K40" s="52"/>
      <c r="L40" s="52"/>
      <c r="M40" s="241"/>
      <c r="N40" s="241"/>
      <c r="O40" s="241"/>
      <c r="P40" s="241"/>
      <c r="Q40" s="241"/>
      <c r="R40" s="241"/>
      <c r="S40" s="242"/>
    </row>
    <row r="41" spans="1:19" x14ac:dyDescent="0.45">
      <c r="A41" s="74" t="s">
        <v>207</v>
      </c>
      <c r="B41" s="52"/>
      <c r="C41" s="245">
        <f>O14</f>
        <v>7336000</v>
      </c>
      <c r="D41" s="245"/>
      <c r="E41" s="245"/>
      <c r="F41" s="245"/>
      <c r="G41" s="246"/>
      <c r="H41" s="52"/>
      <c r="I41" s="74" t="s">
        <v>186</v>
      </c>
      <c r="J41" s="52"/>
      <c r="K41" s="52"/>
      <c r="L41" s="52"/>
      <c r="M41" s="243"/>
      <c r="N41" s="243"/>
      <c r="O41" s="243"/>
      <c r="P41" s="243"/>
      <c r="Q41" s="243"/>
      <c r="R41" s="243"/>
      <c r="S41" s="244"/>
    </row>
    <row r="42" spans="1:19" x14ac:dyDescent="0.45">
      <c r="A42" s="74" t="s">
        <v>210</v>
      </c>
      <c r="B42" s="52"/>
      <c r="C42" s="76"/>
      <c r="D42" s="52"/>
      <c r="E42" s="52"/>
      <c r="F42" s="52"/>
      <c r="G42" s="75"/>
      <c r="H42" s="52"/>
      <c r="I42" s="74" t="s">
        <v>187</v>
      </c>
      <c r="J42" s="52"/>
      <c r="K42" s="52"/>
      <c r="L42" s="52"/>
      <c r="M42" s="243"/>
      <c r="N42" s="243"/>
      <c r="O42" s="243"/>
      <c r="P42" s="243"/>
      <c r="Q42" s="243"/>
      <c r="R42" s="243"/>
      <c r="S42" s="244"/>
    </row>
    <row r="43" spans="1:19" x14ac:dyDescent="0.45">
      <c r="A43" s="74" t="s">
        <v>198</v>
      </c>
      <c r="B43" s="52"/>
      <c r="C43" s="77"/>
      <c r="D43" s="241"/>
      <c r="E43" s="241"/>
      <c r="F43" s="241"/>
      <c r="G43" s="242"/>
      <c r="H43" s="52"/>
      <c r="I43" s="74" t="s">
        <v>188</v>
      </c>
      <c r="J43" s="52"/>
      <c r="K43" s="52"/>
      <c r="L43" s="52"/>
      <c r="M43" s="243"/>
      <c r="N43" s="243"/>
      <c r="O43" s="243"/>
      <c r="P43" s="243"/>
      <c r="Q43" s="243"/>
      <c r="R43" s="243"/>
      <c r="S43" s="244"/>
    </row>
    <row r="44" spans="1:19" ht="14.65" thickBot="1" x14ac:dyDescent="0.5">
      <c r="A44" s="78"/>
      <c r="B44" s="79"/>
      <c r="C44" s="79"/>
      <c r="D44" s="79"/>
      <c r="E44" s="79"/>
      <c r="F44" s="79"/>
      <c r="G44" s="80"/>
      <c r="H44" s="81"/>
      <c r="I44" s="78"/>
      <c r="J44" s="239"/>
      <c r="K44" s="239"/>
      <c r="L44" s="239"/>
      <c r="M44" s="239"/>
      <c r="N44" s="239"/>
      <c r="O44" s="239"/>
      <c r="P44" s="239"/>
      <c r="Q44" s="239"/>
      <c r="R44" s="239"/>
      <c r="S44" s="240"/>
    </row>
    <row r="46" spans="1:19" x14ac:dyDescent="0.45">
      <c r="A46" s="238" t="s">
        <v>197</v>
      </c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</row>
  </sheetData>
  <sheetProtection sheet="1" objects="1" scenarios="1"/>
  <mergeCells count="37">
    <mergeCell ref="A1:S1"/>
    <mergeCell ref="O3:S3"/>
    <mergeCell ref="O4:S4"/>
    <mergeCell ref="B4:B5"/>
    <mergeCell ref="O5:S5"/>
    <mergeCell ref="O2:S2"/>
    <mergeCell ref="O15:S15"/>
    <mergeCell ref="D11:E11"/>
    <mergeCell ref="O6:S6"/>
    <mergeCell ref="O7:S7"/>
    <mergeCell ref="O8:S8"/>
    <mergeCell ref="O13:S13"/>
    <mergeCell ref="D8:E8"/>
    <mergeCell ref="I39:S39"/>
    <mergeCell ref="O9:S9"/>
    <mergeCell ref="O10:S10"/>
    <mergeCell ref="O11:S11"/>
    <mergeCell ref="O12:S12"/>
    <mergeCell ref="A18:S18"/>
    <mergeCell ref="A39:G39"/>
    <mergeCell ref="O14:S14"/>
    <mergeCell ref="D9:E9"/>
    <mergeCell ref="J11:K11"/>
    <mergeCell ref="O16:S16"/>
    <mergeCell ref="A7:A9"/>
    <mergeCell ref="A10:A11"/>
    <mergeCell ref="B7:B9"/>
    <mergeCell ref="J8:K8"/>
    <mergeCell ref="J9:K9"/>
    <mergeCell ref="A46:S46"/>
    <mergeCell ref="J44:S44"/>
    <mergeCell ref="M40:S40"/>
    <mergeCell ref="M41:S41"/>
    <mergeCell ref="M42:S42"/>
    <mergeCell ref="M43:S43"/>
    <mergeCell ref="C41:G41"/>
    <mergeCell ref="D43:G43"/>
  </mergeCells>
  <phoneticPr fontId="0" type="noConversion"/>
  <pageMargins left="0.14000000000000001" right="0.13" top="0.75" bottom="0.24" header="0.3" footer="0.11"/>
  <pageSetup paperSize="9" scale="8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2" r:id="rId4" name="Check Box 4">
              <controlPr defaultSize="0" autoFill="0" autoLine="0" autoPict="0">
                <anchor moveWithCells="1">
                  <from>
                    <xdr:col>1</xdr:col>
                    <xdr:colOff>885825</xdr:colOff>
                    <xdr:row>40</xdr:row>
                    <xdr:rowOff>180975</xdr:rowOff>
                  </from>
                  <to>
                    <xdr:col>1</xdr:col>
                    <xdr:colOff>1200150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5" name="texte">
              <controlPr defaultSize="0" autoFill="0" autoLine="0" autoPict="0">
                <anchor moveWithCells="1">
                  <from>
                    <xdr:col>2</xdr:col>
                    <xdr:colOff>38100</xdr:colOff>
                    <xdr:row>40</xdr:row>
                    <xdr:rowOff>180975</xdr:rowOff>
                  </from>
                  <to>
                    <xdr:col>2</xdr:col>
                    <xdr:colOff>342900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6" name="Check Box 10">
              <controlPr defaultSize="0" autoFill="0" autoLine="0" autoPict="0">
                <anchor moveWithCells="1">
                  <from>
                    <xdr:col>3</xdr:col>
                    <xdr:colOff>142875</xdr:colOff>
                    <xdr:row>40</xdr:row>
                    <xdr:rowOff>180975</xdr:rowOff>
                  </from>
                  <to>
                    <xdr:col>4</xdr:col>
                    <xdr:colOff>266700</xdr:colOff>
                    <xdr:row>42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IS1</vt:lpstr>
      <vt:lpstr>IS2</vt:lpstr>
      <vt:lpstr>IS3</vt:lpstr>
      <vt:lpstr>IS4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SURFACE</cp:lastModifiedBy>
  <cp:lastPrinted>2014-03-18T14:18:23Z</cp:lastPrinted>
  <dcterms:created xsi:type="dcterms:W3CDTF">2012-02-29T10:20:17Z</dcterms:created>
  <dcterms:modified xsi:type="dcterms:W3CDTF">2026-10-29T18:05:39Z</dcterms:modified>
</cp:coreProperties>
</file>