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\Downloads\"/>
    </mc:Choice>
  </mc:AlternateContent>
  <xr:revisionPtr revIDLastSave="0" documentId="8_{D9699296-4448-4458-9191-559DA9449250}" xr6:coauthVersionLast="47" xr6:coauthVersionMax="47" xr10:uidLastSave="{00000000-0000-0000-0000-000000000000}"/>
  <bookViews>
    <workbookView xWindow="-98" yWindow="-98" windowWidth="24496" windowHeight="16395" xr2:uid="{4FBB6384-ACF8-4907-A5D8-BA072C46687C}"/>
  </bookViews>
  <sheets>
    <sheet name="RetFo" sheetId="1" r:id="rId1"/>
  </sheets>
  <definedNames>
    <definedName name="_mDu1">""</definedName>
    <definedName name="_mDu2">""</definedName>
    <definedName name="_mDu3">""</definedName>
    <definedName name="_mDu4">""</definedName>
    <definedName name="_mDu5">""</definedName>
    <definedName name="_mDu6">""</definedName>
    <definedName name="_mDu7">""</definedName>
    <definedName name="_mDu8">""</definedName>
    <definedName name="bqChq">""</definedName>
    <definedName name="bqVir">""</definedName>
    <definedName name="dSign">""</definedName>
    <definedName name="eAn">""</definedName>
    <definedName name="eDeb">""</definedName>
    <definedName name="eFin">""</definedName>
    <definedName name="eMois">""</definedName>
    <definedName name="IndChq">""</definedName>
    <definedName name="IndEsp">""</definedName>
    <definedName name="IndVir">""</definedName>
    <definedName name="mBase1">""</definedName>
    <definedName name="mBase2">""</definedName>
    <definedName name="mBase3">""</definedName>
    <definedName name="mBase4">""</definedName>
    <definedName name="mBase5">""</definedName>
    <definedName name="mBase6">""</definedName>
    <definedName name="mBase7">""</definedName>
    <definedName name="mBase8">""</definedName>
    <definedName name="mLettres">""</definedName>
    <definedName name="nAIB1">""</definedName>
    <definedName name="nAIB2">""</definedName>
    <definedName name="nAIB3">""</definedName>
    <definedName name="nAIB4">""</definedName>
    <definedName name="nAIB5">""</definedName>
    <definedName name="nAIB6">""</definedName>
    <definedName name="nAIB7">""</definedName>
    <definedName name="nAIB8">""</definedName>
    <definedName name="nSign">""</definedName>
    <definedName name="numChq">""</definedName>
    <definedName name="numIFU">""</definedName>
    <definedName name="numINSAE">""</definedName>
    <definedName name="refVir">""</definedName>
    <definedName name="soAct">""</definedName>
    <definedName name="soAdr">""</definedName>
    <definedName name="soNom">""</definedName>
    <definedName name="soTel">""</definedName>
    <definedName name="Ville">""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1" l="1"/>
  <c r="F43" i="1"/>
  <c r="B43" i="1"/>
  <c r="L40" i="1"/>
  <c r="G40" i="1"/>
  <c r="C40" i="1"/>
  <c r="L38" i="1"/>
  <c r="G38" i="1"/>
  <c r="C38" i="1"/>
  <c r="C36" i="1"/>
  <c r="A33" i="1"/>
  <c r="N30" i="1"/>
  <c r="K30" i="1"/>
  <c r="A30" i="1"/>
  <c r="N29" i="1"/>
  <c r="K29" i="1"/>
  <c r="A29" i="1"/>
  <c r="N28" i="1"/>
  <c r="K28" i="1"/>
  <c r="A28" i="1"/>
  <c r="N27" i="1"/>
  <c r="K27" i="1"/>
  <c r="A27" i="1"/>
  <c r="N25" i="1"/>
  <c r="K25" i="1"/>
  <c r="A25" i="1"/>
  <c r="N24" i="1"/>
  <c r="K24" i="1"/>
  <c r="A24" i="1"/>
  <c r="N23" i="1"/>
  <c r="N31" i="1" s="1"/>
  <c r="K23" i="1"/>
  <c r="A23" i="1"/>
  <c r="N22" i="1"/>
  <c r="K22" i="1"/>
  <c r="A22" i="1"/>
  <c r="K17" i="1"/>
  <c r="D17" i="1"/>
  <c r="H16" i="1"/>
  <c r="D16" i="1"/>
  <c r="E15" i="1"/>
  <c r="E14" i="1"/>
  <c r="E13" i="1"/>
  <c r="E12" i="1"/>
  <c r="N8" i="1"/>
  <c r="G8" i="1"/>
</calcChain>
</file>

<file path=xl/sharedStrings.xml><?xml version="1.0" encoding="utf-8"?>
<sst xmlns="http://schemas.openxmlformats.org/spreadsheetml/2006/main" count="50" uniqueCount="47">
  <si>
    <t>--------------------</t>
  </si>
  <si>
    <t>Ministère des Finances</t>
  </si>
  <si>
    <t>BORDEREAU DE VERSEMENT DES</t>
  </si>
  <si>
    <t>PRELEVEMENTS D'ACOMPTE IMPUTABLE</t>
  </si>
  <si>
    <t>Direction Générale des Impôts</t>
  </si>
  <si>
    <t>SUR L'IMPOT ASSIS SUR LES BENEFICES</t>
  </si>
  <si>
    <t>et des Domaines</t>
  </si>
  <si>
    <t>Année</t>
  </si>
  <si>
    <t>Mois</t>
  </si>
  <si>
    <t>I - IDENTIFICATION DU REDEVABLE</t>
  </si>
  <si>
    <t>Nom ou Raison sociale</t>
  </si>
  <si>
    <t>Cachet de la Recette des Impôts</t>
  </si>
  <si>
    <t>Activité</t>
  </si>
  <si>
    <t>Adresse</t>
  </si>
  <si>
    <t>Téléphone</t>
  </si>
  <si>
    <t>Période allant du</t>
  </si>
  <si>
    <t>au</t>
  </si>
  <si>
    <t xml:space="preserve">N° INSAE </t>
  </si>
  <si>
    <t>N° IFU</t>
  </si>
  <si>
    <t>II - LIQUIDATION DES DROITS</t>
  </si>
  <si>
    <t>NATURE</t>
  </si>
  <si>
    <t>BASE</t>
  </si>
  <si>
    <t>MONTANT</t>
  </si>
  <si>
    <t>Achats de marchandises</t>
  </si>
  <si>
    <t>Prestations de services</t>
  </si>
  <si>
    <t>Montant total à reverser</t>
  </si>
  <si>
    <t>Montant du versement en lettres:</t>
  </si>
  <si>
    <t>III - PAIEMENT (Obligatoirement joint à la déclaration)</t>
  </si>
  <si>
    <t>Espèces</t>
  </si>
  <si>
    <t>Chèque</t>
  </si>
  <si>
    <t>Banque:</t>
  </si>
  <si>
    <t>N° Chèque:</t>
  </si>
  <si>
    <t>Virement</t>
  </si>
  <si>
    <t>Réf. Virement:</t>
  </si>
  <si>
    <t>La partie versante</t>
  </si>
  <si>
    <t>Cadre réservé à l'Administration</t>
  </si>
  <si>
    <t>A</t>
  </si>
  <si>
    <t>le</t>
  </si>
  <si>
    <t>N° de Quittance:</t>
  </si>
  <si>
    <t>Signature et Cachet</t>
  </si>
  <si>
    <t xml:space="preserve"> </t>
  </si>
  <si>
    <t>Date d'émission:</t>
  </si>
  <si>
    <t>Pénalités</t>
  </si>
  <si>
    <t>Motif:</t>
  </si>
  <si>
    <t>Montant:</t>
  </si>
  <si>
    <t>Montant total perçu:</t>
  </si>
  <si>
    <t>République du Bénin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</si>
</sst>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9" x14ac:knownFonts="1">
    <font>
      <sz val="10"/>
      <name val="Arial"/>
    </font>
    <font>
      <sz val="12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" fillId="0" borderId="0" xfId="1" applyAlignment="1" applyProtection="1">
      <alignment vertical="center"/>
      <protection locked="0"/>
    </xf>
    <xf numFmtId="0" fontId="2" fillId="0" borderId="0" xfId="1" quotePrefix="1" applyFont="1" applyAlignment="1" applyProtection="1">
      <alignment horizontal="center" vertical="center"/>
      <protection locked="0"/>
    </xf>
    <xf numFmtId="0" fontId="1" fillId="0" borderId="1" xfId="1" applyBorder="1" applyAlignment="1" applyProtection="1">
      <alignment vertical="center"/>
      <protection locked="0"/>
    </xf>
    <xf numFmtId="0" fontId="2" fillId="0" borderId="2" xfId="1" applyFont="1" applyBorder="1" applyAlignment="1" applyProtection="1">
      <alignment vertical="center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2" fillId="0" borderId="6" xfId="1" applyFont="1" applyBorder="1" applyAlignment="1" applyProtection="1">
      <alignment vertical="center"/>
      <protection locked="0"/>
    </xf>
    <xf numFmtId="0" fontId="2" fillId="0" borderId="7" xfId="1" applyFont="1" applyBorder="1" applyAlignment="1" applyProtection="1">
      <alignment vertical="center"/>
      <protection locked="0"/>
    </xf>
    <xf numFmtId="0" fontId="2" fillId="0" borderId="8" xfId="1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5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9" xfId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2" xfId="1" applyFont="1" applyBorder="1" applyAlignment="1" applyProtection="1">
      <alignment vertical="center"/>
      <protection locked="0"/>
    </xf>
    <xf numFmtId="0" fontId="1" fillId="0" borderId="10" xfId="1" applyBorder="1" applyAlignment="1" applyProtection="1">
      <alignment vertical="center"/>
      <protection locked="0"/>
    </xf>
    <xf numFmtId="0" fontId="6" fillId="0" borderId="0" xfId="1" quotePrefix="1" applyFont="1" applyAlignment="1" applyProtection="1">
      <alignment vertical="center"/>
      <protection locked="0"/>
    </xf>
    <xf numFmtId="0" fontId="0" fillId="0" borderId="5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1" applyFont="1" applyAlignment="1" applyProtection="1">
      <alignment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1" quotePrefix="1" applyFont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0" xfId="1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0" fontId="3" fillId="0" borderId="7" xfId="1" applyFont="1" applyBorder="1" applyAlignment="1" applyProtection="1">
      <alignment vertical="center"/>
      <protection locked="0"/>
    </xf>
    <xf numFmtId="0" fontId="7" fillId="0" borderId="7" xfId="1" applyFont="1" applyBorder="1" applyAlignment="1" applyProtection="1">
      <alignment vertical="center"/>
      <protection locked="0"/>
    </xf>
    <xf numFmtId="0" fontId="4" fillId="0" borderId="7" xfId="1" applyFont="1" applyBorder="1" applyAlignment="1" applyProtection="1">
      <alignment vertical="center"/>
      <protection locked="0"/>
    </xf>
    <xf numFmtId="0" fontId="1" fillId="0" borderId="7" xfId="1" applyBorder="1" applyAlignment="1" applyProtection="1">
      <alignment vertical="center"/>
      <protection locked="0"/>
    </xf>
    <xf numFmtId="0" fontId="2" fillId="0" borderId="9" xfId="1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" xfId="1" applyFont="1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3" fontId="2" fillId="0" borderId="1" xfId="1" applyNumberFormat="1" applyFont="1" applyBorder="1" applyAlignment="1" applyProtection="1">
      <alignment horizontal="right" vertical="center"/>
      <protection locked="0"/>
    </xf>
    <xf numFmtId="3" fontId="0" fillId="0" borderId="2" xfId="0" applyNumberFormat="1" applyBorder="1" applyAlignment="1">
      <alignment horizontal="right" vertical="center"/>
    </xf>
    <xf numFmtId="3" fontId="0" fillId="0" borderId="3" xfId="0" applyNumberFormat="1" applyBorder="1" applyAlignment="1">
      <alignment horizontal="right" vertical="center"/>
    </xf>
    <xf numFmtId="0" fontId="3" fillId="0" borderId="4" xfId="1" applyFont="1" applyBorder="1" applyAlignment="1" applyProtection="1">
      <alignment horizontal="left" vertical="center"/>
      <protection locked="0"/>
    </xf>
    <xf numFmtId="3" fontId="2" fillId="0" borderId="4" xfId="1" applyNumberFormat="1" applyFont="1" applyBorder="1" applyAlignment="1" applyProtection="1">
      <alignment horizontal="right" vertical="center"/>
      <protection locked="0"/>
    </xf>
    <xf numFmtId="3" fontId="0" fillId="0" borderId="0" xfId="0" applyNumberFormat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0" fontId="3" fillId="0" borderId="6" xfId="1" applyFont="1" applyBorder="1" applyAlignment="1" applyProtection="1">
      <alignment horizontal="left" vertical="center"/>
      <protection locked="0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3" fontId="2" fillId="0" borderId="6" xfId="1" applyNumberFormat="1" applyFont="1" applyBorder="1" applyAlignment="1" applyProtection="1">
      <alignment horizontal="right" vertical="center"/>
      <protection locked="0"/>
    </xf>
    <xf numFmtId="3" fontId="0" fillId="0" borderId="7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0" fontId="3" fillId="0" borderId="9" xfId="1" applyFont="1" applyBorder="1" applyAlignment="1" applyProtection="1">
      <alignment horizontal="left" vertical="center"/>
      <protection locked="0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3" fontId="2" fillId="0" borderId="9" xfId="1" applyNumberFormat="1" applyFont="1" applyBorder="1" applyAlignment="1" applyProtection="1">
      <alignment horizontal="right" vertical="center"/>
      <protection locked="0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3" fillId="0" borderId="1" xfId="1" applyFont="1" applyBorder="1" applyAlignment="1" applyProtection="1">
      <alignment vertical="center"/>
      <protection locked="0"/>
    </xf>
    <xf numFmtId="0" fontId="3" fillId="0" borderId="2" xfId="1" applyFont="1" applyBorder="1" applyAlignment="1" applyProtection="1">
      <alignment vertical="center"/>
      <protection locked="0"/>
    </xf>
    <xf numFmtId="0" fontId="3" fillId="0" borderId="3" xfId="1" applyFont="1" applyBorder="1" applyAlignment="1" applyProtection="1">
      <alignment vertical="center"/>
      <protection locked="0"/>
    </xf>
    <xf numFmtId="0" fontId="2" fillId="0" borderId="6" xfId="1" applyFont="1" applyBorder="1" applyAlignment="1" applyProtection="1">
      <alignment horizontal="center" vertical="top" wrapText="1"/>
      <protection locked="0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1" applyFont="1" applyBorder="1" applyAlignment="1" applyProtection="1">
      <alignment vertical="center"/>
      <protection locked="0"/>
    </xf>
    <xf numFmtId="49" fontId="2" fillId="0" borderId="12" xfId="1" applyNumberFormat="1" applyFont="1" applyBorder="1" applyAlignment="1" applyProtection="1">
      <alignment horizontal="center" vertical="center"/>
      <protection locked="0"/>
    </xf>
    <xf numFmtId="0" fontId="3" fillId="0" borderId="5" xfId="1" applyFont="1" applyBorder="1" applyAlignment="1" applyProtection="1">
      <alignment vertical="center"/>
      <protection locked="0"/>
    </xf>
    <xf numFmtId="0" fontId="3" fillId="0" borderId="4" xfId="1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49" fontId="2" fillId="0" borderId="10" xfId="1" applyNumberFormat="1" applyFont="1" applyBorder="1" applyAlignment="1" applyProtection="1">
      <alignment vertical="center"/>
      <protection locked="0"/>
    </xf>
    <xf numFmtId="0" fontId="2" fillId="0" borderId="12" xfId="1" applyFont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left" vertical="center"/>
      <protection locked="0"/>
    </xf>
    <xf numFmtId="0" fontId="2" fillId="0" borderId="5" xfId="1" applyFont="1" applyBorder="1" applyAlignment="1" applyProtection="1">
      <alignment horizontal="left" vertical="center"/>
      <protection locked="0"/>
    </xf>
    <xf numFmtId="0" fontId="3" fillId="0" borderId="6" xfId="1" applyFont="1" applyBorder="1" applyAlignment="1" applyProtection="1">
      <alignment vertical="center"/>
      <protection locked="0"/>
    </xf>
    <xf numFmtId="0" fontId="0" fillId="0" borderId="7" xfId="0" applyBorder="1" applyAlignment="1">
      <alignment vertical="center"/>
    </xf>
    <xf numFmtId="49" fontId="2" fillId="0" borderId="2" xfId="1" applyNumberFormat="1" applyFont="1" applyBorder="1" applyAlignment="1" applyProtection="1">
      <alignment vertical="center"/>
      <protection locked="0"/>
    </xf>
    <xf numFmtId="0" fontId="2" fillId="0" borderId="4" xfId="1" applyFont="1" applyBorder="1" applyAlignment="1" applyProtection="1">
      <alignment horizontal="left" vertical="center"/>
      <protection locked="0"/>
    </xf>
    <xf numFmtId="0" fontId="2" fillId="0" borderId="1" xfId="1" applyFont="1" applyBorder="1" applyAlignment="1" applyProtection="1">
      <alignment vertical="center"/>
      <protection locked="0"/>
    </xf>
    <xf numFmtId="0" fontId="1" fillId="0" borderId="2" xfId="1" applyBorder="1" applyAlignment="1" applyProtection="1">
      <alignment vertical="center"/>
      <protection locked="0"/>
    </xf>
    <xf numFmtId="0" fontId="1" fillId="0" borderId="3" xfId="1" applyBorder="1" applyAlignment="1" applyProtection="1">
      <alignment vertical="center"/>
      <protection locked="0"/>
    </xf>
    <xf numFmtId="0" fontId="6" fillId="0" borderId="4" xfId="1" applyFont="1" applyBorder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" fillId="0" borderId="5" xfId="1" applyBorder="1" applyAlignment="1" applyProtection="1">
      <alignment vertical="center"/>
      <protection locked="0"/>
    </xf>
    <xf numFmtId="0" fontId="8" fillId="0" borderId="0" xfId="1" applyFont="1" applyAlignment="1" applyProtection="1">
      <alignment vertical="center"/>
      <protection locked="0"/>
    </xf>
    <xf numFmtId="0" fontId="6" fillId="0" borderId="0" xfId="1" applyFont="1" applyAlignment="1" applyProtection="1">
      <alignment horizontal="left" vertical="center"/>
      <protection locked="0"/>
    </xf>
    <xf numFmtId="164" fontId="4" fillId="0" borderId="0" xfId="1" applyNumberFormat="1" applyFont="1" applyAlignment="1" applyProtection="1">
      <alignment horizontal="left" vertical="center"/>
      <protection locked="0"/>
    </xf>
    <xf numFmtId="164" fontId="4" fillId="0" borderId="0" xfId="0" applyNumberFormat="1" applyFont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/>
    </xf>
    <xf numFmtId="0" fontId="6" fillId="0" borderId="4" xfId="1" quotePrefix="1" applyFont="1" applyBorder="1" applyAlignment="1" applyProtection="1">
      <alignment vertical="center"/>
      <protection locked="0"/>
    </xf>
    <xf numFmtId="0" fontId="2" fillId="0" borderId="6" xfId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6" xfId="1" applyFont="1" applyBorder="1" applyAlignment="1" applyProtection="1">
      <alignment vertical="center"/>
      <protection locked="0"/>
    </xf>
    <xf numFmtId="0" fontId="6" fillId="0" borderId="7" xfId="1" applyFont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</cellXfs>
  <cellStyles count="2">
    <cellStyle name="Normal" xfId="0" builtinId="0"/>
    <cellStyle name="Normal_tva" xfId="1" xr:uid="{80B6141B-9A2E-4B0E-9A05-F8A447D1FE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9796-5960-4836-AFCC-0FF91377E2AC}">
  <sheetPr>
    <pageSetUpPr fitToPage="1"/>
  </sheetPr>
  <dimension ref="A1:Q48"/>
  <sheetViews>
    <sheetView showRowColHeaders="0" showZeros="0" tabSelected="1" zoomScale="90" zoomScaleNormal="90" workbookViewId="0">
      <selection activeCell="U17" sqref="U17"/>
    </sheetView>
  </sheetViews>
  <sheetFormatPr baseColWidth="10" defaultColWidth="14.86328125" defaultRowHeight="15" x14ac:dyDescent="0.35"/>
  <cols>
    <col min="1" max="1" width="3.73046875" style="3" customWidth="1"/>
    <col min="2" max="2" width="6.73046875" style="3" customWidth="1"/>
    <col min="3" max="3" width="8.86328125" style="3" customWidth="1"/>
    <col min="4" max="4" width="9.59765625" style="3" customWidth="1"/>
    <col min="5" max="5" width="3.265625" style="3" customWidth="1"/>
    <col min="6" max="6" width="4.73046875" style="3" customWidth="1"/>
    <col min="7" max="7" width="5.265625" style="3" customWidth="1"/>
    <col min="8" max="8" width="7.59765625" style="3" customWidth="1"/>
    <col min="9" max="9" width="6.59765625" style="3" customWidth="1"/>
    <col min="10" max="10" width="4.86328125" style="3" customWidth="1"/>
    <col min="11" max="11" width="16.265625" style="3" customWidth="1"/>
    <col min="12" max="12" width="5.3984375" style="3" customWidth="1"/>
    <col min="13" max="13" width="2.265625" style="3" customWidth="1"/>
    <col min="14" max="14" width="9.3984375" style="3" customWidth="1"/>
    <col min="15" max="15" width="6.59765625" style="3" customWidth="1"/>
    <col min="16" max="16" width="4.86328125" style="3" customWidth="1"/>
    <col min="17" max="16384" width="14.86328125" style="3"/>
  </cols>
  <sheetData>
    <row r="1" spans="1:16" ht="18" customHeight="1" x14ac:dyDescent="0.35">
      <c r="A1" s="1" t="s">
        <v>46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" customHeight="1" x14ac:dyDescent="0.35">
      <c r="A2" s="4" t="s">
        <v>0</v>
      </c>
      <c r="B2" s="1"/>
      <c r="C2" s="1"/>
      <c r="D2" s="1"/>
      <c r="E2" s="1"/>
      <c r="F2" s="1"/>
      <c r="H2" s="5"/>
      <c r="I2" s="6"/>
      <c r="J2" s="6"/>
      <c r="K2" s="6"/>
      <c r="L2" s="6"/>
      <c r="M2" s="6"/>
      <c r="N2" s="7"/>
      <c r="O2" s="8"/>
      <c r="P2" s="9"/>
    </row>
    <row r="3" spans="1:16" ht="18" customHeight="1" x14ac:dyDescent="0.35">
      <c r="A3" s="1" t="s">
        <v>1</v>
      </c>
      <c r="B3" s="1"/>
      <c r="C3" s="1"/>
      <c r="D3" s="1"/>
      <c r="E3" s="1"/>
      <c r="F3" s="1"/>
      <c r="H3" s="10" t="s">
        <v>2</v>
      </c>
      <c r="I3" s="1"/>
      <c r="J3" s="1"/>
      <c r="K3" s="1"/>
      <c r="L3" s="1"/>
      <c r="M3" s="1"/>
      <c r="N3" s="1"/>
      <c r="O3" s="11"/>
      <c r="P3" s="2"/>
    </row>
    <row r="4" spans="1:16" ht="18" customHeight="1" x14ac:dyDescent="0.35">
      <c r="A4" s="4" t="s">
        <v>0</v>
      </c>
      <c r="B4" s="1"/>
      <c r="C4" s="1"/>
      <c r="D4" s="1"/>
      <c r="E4" s="1"/>
      <c r="F4" s="1"/>
      <c r="H4" s="10" t="s">
        <v>3</v>
      </c>
      <c r="I4" s="1"/>
      <c r="J4" s="1"/>
      <c r="K4" s="1"/>
      <c r="L4" s="1"/>
      <c r="M4" s="1"/>
      <c r="N4" s="1"/>
      <c r="O4" s="11"/>
      <c r="P4" s="2"/>
    </row>
    <row r="5" spans="1:16" ht="18" customHeight="1" x14ac:dyDescent="0.35">
      <c r="A5" s="1" t="s">
        <v>4</v>
      </c>
      <c r="B5" s="1"/>
      <c r="C5" s="1"/>
      <c r="D5" s="1"/>
      <c r="E5" s="1"/>
      <c r="F5" s="1"/>
      <c r="G5" s="2"/>
      <c r="H5" s="10" t="s">
        <v>5</v>
      </c>
      <c r="I5" s="12"/>
      <c r="J5" s="12"/>
      <c r="K5" s="12"/>
      <c r="L5" s="12"/>
      <c r="M5" s="12"/>
      <c r="N5" s="12"/>
      <c r="O5" s="13"/>
      <c r="P5" s="2"/>
    </row>
    <row r="6" spans="1:16" ht="18" customHeight="1" x14ac:dyDescent="0.35">
      <c r="A6" s="1" t="s">
        <v>6</v>
      </c>
      <c r="B6" s="1"/>
      <c r="C6" s="1"/>
      <c r="D6" s="1"/>
      <c r="E6" s="1"/>
      <c r="F6" s="1"/>
      <c r="G6" s="2"/>
      <c r="H6" s="14"/>
      <c r="I6" s="15"/>
      <c r="J6" s="15"/>
      <c r="K6" s="15"/>
      <c r="L6" s="15"/>
      <c r="M6" s="15"/>
      <c r="N6" s="15"/>
      <c r="O6" s="16"/>
      <c r="P6" s="2"/>
    </row>
    <row r="7" spans="1:16" ht="18" customHeight="1" x14ac:dyDescent="0.35">
      <c r="A7" s="4" t="s">
        <v>0</v>
      </c>
      <c r="B7" s="17"/>
      <c r="C7" s="17"/>
      <c r="D7" s="17"/>
      <c r="E7" s="17"/>
      <c r="F7" s="17"/>
      <c r="G7" s="18"/>
      <c r="H7" s="18"/>
      <c r="I7" s="18"/>
      <c r="J7" s="19"/>
      <c r="K7" s="20"/>
      <c r="L7" s="21"/>
      <c r="M7" s="18"/>
      <c r="N7" s="18"/>
      <c r="O7" s="18"/>
    </row>
    <row r="8" spans="1:16" ht="20.100000000000001" customHeight="1" x14ac:dyDescent="0.35">
      <c r="A8" s="18"/>
      <c r="B8" s="18"/>
      <c r="C8" s="18"/>
      <c r="D8" s="18"/>
      <c r="E8" s="18" t="s">
        <v>7</v>
      </c>
      <c r="G8" s="22" t="str">
        <f>eAn</f>
        <v/>
      </c>
      <c r="H8" s="22"/>
      <c r="I8" s="22"/>
      <c r="J8" s="18"/>
      <c r="K8" s="18"/>
      <c r="L8" s="18" t="s">
        <v>8</v>
      </c>
      <c r="M8" s="18"/>
      <c r="N8" s="22" t="str">
        <f>eMois</f>
        <v xml:space="preserve"/>
      </c>
      <c r="O8" s="23"/>
      <c r="P8" s="23"/>
    </row>
    <row r="9" spans="1:16" ht="12.7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6" ht="32.1" customHeight="1" x14ac:dyDescent="0.35">
      <c r="A10" s="24" t="s">
        <v>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</row>
    <row r="11" spans="1:16" ht="9" customHeight="1" x14ac:dyDescent="0.35">
      <c r="A11" s="2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8"/>
    </row>
    <row r="12" spans="1:16" ht="20.100000000000001" customHeight="1" x14ac:dyDescent="0.35">
      <c r="A12" s="29" t="s">
        <v>10</v>
      </c>
      <c r="B12" s="18"/>
      <c r="C12" s="18"/>
      <c r="D12" s="18"/>
      <c r="E12" s="22" t="str">
        <f xml:space="preserve"> soNom</f>
        <v/>
      </c>
      <c r="F12" s="20"/>
      <c r="G12" s="20"/>
      <c r="H12" s="20"/>
      <c r="I12" s="20"/>
      <c r="J12" s="20"/>
      <c r="K12" s="20"/>
      <c r="L12" s="30"/>
      <c r="M12" s="31" t="s">
        <v>11</v>
      </c>
      <c r="N12" s="32"/>
      <c r="O12" s="32"/>
      <c r="P12" s="33"/>
    </row>
    <row r="13" spans="1:16" ht="20.100000000000001" customHeight="1" x14ac:dyDescent="0.35">
      <c r="A13" s="34" t="s">
        <v>12</v>
      </c>
      <c r="B13" s="18"/>
      <c r="C13" s="18"/>
      <c r="D13" s="18"/>
      <c r="E13" s="22" t="str">
        <f xml:space="preserve"> soAct</f>
        <v/>
      </c>
      <c r="F13" s="12"/>
      <c r="G13" s="12"/>
      <c r="H13" s="12"/>
      <c r="I13" s="12"/>
      <c r="J13" s="12"/>
      <c r="K13" s="12"/>
      <c r="L13" s="13"/>
      <c r="M13" s="35"/>
      <c r="N13" s="36"/>
      <c r="O13" s="36"/>
      <c r="P13" s="37"/>
    </row>
    <row r="14" spans="1:16" ht="20.100000000000001" customHeight="1" x14ac:dyDescent="0.35">
      <c r="A14" s="34" t="s">
        <v>13</v>
      </c>
      <c r="B14" s="18"/>
      <c r="C14" s="38"/>
      <c r="D14" s="18"/>
      <c r="E14" s="23" t="str">
        <f>soAdr</f>
        <v/>
      </c>
      <c r="F14" s="12"/>
      <c r="G14" s="12"/>
      <c r="H14" s="12"/>
      <c r="I14" s="12"/>
      <c r="J14" s="12"/>
      <c r="K14" s="12"/>
      <c r="L14" s="13"/>
      <c r="M14" s="35"/>
      <c r="N14" s="36"/>
      <c r="O14" s="36"/>
      <c r="P14" s="37"/>
    </row>
    <row r="15" spans="1:16" ht="20.100000000000001" customHeight="1" x14ac:dyDescent="0.35">
      <c r="A15" s="34" t="s">
        <v>14</v>
      </c>
      <c r="B15" s="18"/>
      <c r="C15" s="38"/>
      <c r="D15" s="18"/>
      <c r="E15" s="23" t="str">
        <f>soTel</f>
        <v/>
      </c>
      <c r="F15" s="12"/>
      <c r="G15" s="12"/>
      <c r="H15" s="12"/>
      <c r="I15" s="12"/>
      <c r="J15" s="12"/>
      <c r="K15" s="12"/>
      <c r="L15" s="39"/>
      <c r="M15" s="40"/>
      <c r="N15" s="41"/>
      <c r="O15" s="41"/>
      <c r="P15" s="42"/>
    </row>
    <row r="16" spans="1:16" ht="20.100000000000001" customHeight="1" x14ac:dyDescent="0.35">
      <c r="A16" s="34" t="s">
        <v>15</v>
      </c>
      <c r="B16" s="18"/>
      <c r="C16" s="38"/>
      <c r="D16" s="22" t="str">
        <f>eDeb</f>
        <v/>
      </c>
      <c r="E16" s="20"/>
      <c r="F16" s="20"/>
      <c r="G16" s="43" t="s">
        <v>16</v>
      </c>
      <c r="H16" s="23" t="str">
        <f>eFin</f>
        <v/>
      </c>
      <c r="I16" s="12"/>
      <c r="J16" s="12"/>
      <c r="K16" s="12"/>
      <c r="L16" s="39"/>
      <c r="M16" s="39"/>
      <c r="N16" s="39"/>
      <c r="O16" s="39"/>
      <c r="P16" s="44"/>
    </row>
    <row r="17" spans="1:17" ht="20.100000000000001" customHeight="1" x14ac:dyDescent="0.35">
      <c r="A17" s="18" t="s">
        <v>17</v>
      </c>
      <c r="B17" s="18"/>
      <c r="C17" s="18"/>
      <c r="D17" s="45" t="str">
        <f xml:space="preserve"> numINSAE</f>
        <v/>
      </c>
      <c r="E17" s="39"/>
      <c r="F17" s="39"/>
      <c r="G17" s="39"/>
      <c r="H17" s="39"/>
      <c r="I17" s="39" t="s">
        <v>18</v>
      </c>
      <c r="J17" s="39"/>
      <c r="K17" s="46" t="str">
        <f>numIFU</f>
        <v/>
      </c>
      <c r="L17" s="18"/>
      <c r="M17" s="18"/>
      <c r="N17" s="18"/>
      <c r="O17" s="18"/>
    </row>
    <row r="18" spans="1:17" ht="9" customHeight="1" x14ac:dyDescent="0.35">
      <c r="A18" s="47"/>
      <c r="B18" s="47"/>
      <c r="C18" s="47"/>
      <c r="D18" s="48"/>
      <c r="E18" s="47"/>
      <c r="F18" s="49"/>
      <c r="G18" s="47"/>
      <c r="H18" s="47"/>
      <c r="I18" s="47"/>
      <c r="J18" s="47"/>
      <c r="K18" s="47"/>
      <c r="L18" s="47"/>
      <c r="M18" s="47"/>
      <c r="N18" s="47"/>
      <c r="O18" s="47"/>
      <c r="P18" s="50"/>
    </row>
    <row r="19" spans="1:17" ht="32.1" customHeight="1" x14ac:dyDescent="0.35">
      <c r="A19" s="24" t="s">
        <v>19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</row>
    <row r="20" spans="1:17" ht="20.100000000000001" customHeight="1" x14ac:dyDescent="0.35">
      <c r="A20" s="24" t="s">
        <v>20</v>
      </c>
      <c r="B20" s="25"/>
      <c r="C20" s="25"/>
      <c r="D20" s="25"/>
      <c r="E20" s="25"/>
      <c r="F20" s="25"/>
      <c r="G20" s="25"/>
      <c r="H20" s="25"/>
      <c r="I20" s="25"/>
      <c r="J20" s="26"/>
      <c r="K20" s="24" t="s">
        <v>21</v>
      </c>
      <c r="L20" s="25"/>
      <c r="M20" s="26"/>
      <c r="N20" s="24" t="s">
        <v>22</v>
      </c>
      <c r="O20" s="25"/>
      <c r="P20" s="26"/>
      <c r="Q20" s="18"/>
    </row>
    <row r="21" spans="1:17" ht="20.100000000000001" customHeight="1" x14ac:dyDescent="0.35">
      <c r="A21" s="51" t="s">
        <v>23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3"/>
      <c r="Q21" s="18"/>
    </row>
    <row r="22" spans="1:17" ht="20.100000000000001" customHeight="1" x14ac:dyDescent="0.35">
      <c r="A22" s="54" t="str">
        <f>nAIB1</f>
        <v/>
      </c>
      <c r="B22" s="55"/>
      <c r="C22" s="55"/>
      <c r="D22" s="55"/>
      <c r="E22" s="55"/>
      <c r="F22" s="55"/>
      <c r="G22" s="55"/>
      <c r="H22" s="55"/>
      <c r="I22" s="55"/>
      <c r="J22" s="56"/>
      <c r="K22" s="57">
        <f>mBase1</f>
        <v/>
      </c>
      <c r="L22" s="58"/>
      <c r="M22" s="59"/>
      <c r="N22" s="57">
        <f xml:space="preserve"> _mDu1</f>
        <v/>
      </c>
      <c r="O22" s="58"/>
      <c r="P22" s="59"/>
      <c r="Q22" s="18"/>
    </row>
    <row r="23" spans="1:17" ht="20.100000000000001" customHeight="1" x14ac:dyDescent="0.35">
      <c r="A23" s="60" t="str">
        <f>nAIB2</f>
        <v/>
      </c>
      <c r="B23" s="20"/>
      <c r="C23" s="20"/>
      <c r="D23" s="20"/>
      <c r="E23" s="20"/>
      <c r="F23" s="20"/>
      <c r="G23" s="20"/>
      <c r="H23" s="20"/>
      <c r="I23" s="20"/>
      <c r="J23" s="30"/>
      <c r="K23" s="61">
        <f>mBase2</f>
        <v/>
      </c>
      <c r="L23" s="62"/>
      <c r="M23" s="63"/>
      <c r="N23" s="61">
        <f xml:space="preserve"> _mDu2</f>
        <v/>
      </c>
      <c r="O23" s="62"/>
      <c r="P23" s="63"/>
      <c r="Q23" s="18"/>
    </row>
    <row r="24" spans="1:17" ht="20.100000000000001" customHeight="1" x14ac:dyDescent="0.35">
      <c r="A24" s="60" t="str">
        <f>nAIB3</f>
        <v/>
      </c>
      <c r="B24" s="20"/>
      <c r="C24" s="20"/>
      <c r="D24" s="20"/>
      <c r="E24" s="20"/>
      <c r="F24" s="20"/>
      <c r="G24" s="20"/>
      <c r="H24" s="20"/>
      <c r="I24" s="20"/>
      <c r="J24" s="30"/>
      <c r="K24" s="61">
        <f>mBase3</f>
        <v/>
      </c>
      <c r="L24" s="62"/>
      <c r="M24" s="63"/>
      <c r="N24" s="61">
        <f xml:space="preserve"> _mDu3</f>
        <v/>
      </c>
      <c r="O24" s="62"/>
      <c r="P24" s="63"/>
      <c r="Q24" s="18"/>
    </row>
    <row r="25" spans="1:17" ht="20.100000000000001" customHeight="1" x14ac:dyDescent="0.35">
      <c r="A25" s="60" t="str">
        <f>nAIB4</f>
        <v/>
      </c>
      <c r="B25" s="20"/>
      <c r="C25" s="20"/>
      <c r="D25" s="20"/>
      <c r="E25" s="20"/>
      <c r="F25" s="20"/>
      <c r="G25" s="20"/>
      <c r="H25" s="20"/>
      <c r="I25" s="20"/>
      <c r="J25" s="30"/>
      <c r="K25" s="61">
        <f>mBase4</f>
        <v/>
      </c>
      <c r="L25" s="62"/>
      <c r="M25" s="63"/>
      <c r="N25" s="61">
        <f xml:space="preserve"> _mDu4</f>
        <v/>
      </c>
      <c r="O25" s="62"/>
      <c r="P25" s="63"/>
      <c r="Q25" s="18"/>
    </row>
    <row r="26" spans="1:17" ht="20.100000000000001" customHeight="1" x14ac:dyDescent="0.35">
      <c r="A26" s="51" t="s">
        <v>24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3"/>
      <c r="Q26" s="18"/>
    </row>
    <row r="27" spans="1:17" ht="20.100000000000001" customHeight="1" x14ac:dyDescent="0.35">
      <c r="A27" s="54" t="str">
        <f>nAIB5</f>
        <v/>
      </c>
      <c r="B27" s="55"/>
      <c r="C27" s="55"/>
      <c r="D27" s="55"/>
      <c r="E27" s="55"/>
      <c r="F27" s="55"/>
      <c r="G27" s="55"/>
      <c r="H27" s="55"/>
      <c r="I27" s="55"/>
      <c r="J27" s="56"/>
      <c r="K27" s="57">
        <f>mBase5</f>
        <v/>
      </c>
      <c r="L27" s="58"/>
      <c r="M27" s="59"/>
      <c r="N27" s="57">
        <f xml:space="preserve"> _mDu5</f>
        <v/>
      </c>
      <c r="O27" s="58"/>
      <c r="P27" s="59"/>
      <c r="Q27" s="18"/>
    </row>
    <row r="28" spans="1:17" ht="20.100000000000001" customHeight="1" x14ac:dyDescent="0.35">
      <c r="A28" s="60" t="str">
        <f>nAIB6</f>
        <v/>
      </c>
      <c r="B28" s="20"/>
      <c r="C28" s="20"/>
      <c r="D28" s="20"/>
      <c r="E28" s="20"/>
      <c r="F28" s="20"/>
      <c r="G28" s="20"/>
      <c r="H28" s="20"/>
      <c r="I28" s="20"/>
      <c r="J28" s="30"/>
      <c r="K28" s="61">
        <f>mBase6</f>
        <v/>
      </c>
      <c r="L28" s="62"/>
      <c r="M28" s="63"/>
      <c r="N28" s="61">
        <f xml:space="preserve"> _mDu6</f>
        <v/>
      </c>
      <c r="O28" s="62"/>
      <c r="P28" s="63"/>
      <c r="Q28" s="18"/>
    </row>
    <row r="29" spans="1:17" ht="20.100000000000001" customHeight="1" x14ac:dyDescent="0.35">
      <c r="A29" s="60" t="str">
        <f>nAIB7</f>
        <v/>
      </c>
      <c r="B29" s="20"/>
      <c r="C29" s="20"/>
      <c r="D29" s="20"/>
      <c r="E29" s="20"/>
      <c r="F29" s="20"/>
      <c r="G29" s="20"/>
      <c r="H29" s="20"/>
      <c r="I29" s="20"/>
      <c r="J29" s="30"/>
      <c r="K29" s="61">
        <f>mBase7</f>
        <v/>
      </c>
      <c r="L29" s="62"/>
      <c r="M29" s="63"/>
      <c r="N29" s="61">
        <f xml:space="preserve"> _mDu7</f>
        <v/>
      </c>
      <c r="O29" s="62"/>
      <c r="P29" s="63"/>
      <c r="Q29" s="18"/>
    </row>
    <row r="30" spans="1:17" ht="20.100000000000001" customHeight="1" x14ac:dyDescent="0.35">
      <c r="A30" s="64" t="str">
        <f>nAIB8</f>
        <v/>
      </c>
      <c r="B30" s="65"/>
      <c r="C30" s="65"/>
      <c r="D30" s="65"/>
      <c r="E30" s="65"/>
      <c r="F30" s="65"/>
      <c r="G30" s="65"/>
      <c r="H30" s="65"/>
      <c r="I30" s="65"/>
      <c r="J30" s="66"/>
      <c r="K30" s="67">
        <f>mBase8</f>
        <v/>
      </c>
      <c r="L30" s="68"/>
      <c r="M30" s="69"/>
      <c r="N30" s="67">
        <f xml:space="preserve"> _mDu8</f>
        <v/>
      </c>
      <c r="O30" s="68"/>
      <c r="P30" s="69"/>
      <c r="Q30" s="18"/>
    </row>
    <row r="31" spans="1:17" ht="20.100000000000001" customHeight="1" x14ac:dyDescent="0.35">
      <c r="A31" s="70" t="s">
        <v>25</v>
      </c>
      <c r="B31" s="71"/>
      <c r="C31" s="71"/>
      <c r="D31" s="71"/>
      <c r="E31" s="71"/>
      <c r="F31" s="71"/>
      <c r="G31" s="71"/>
      <c r="H31" s="71"/>
      <c r="I31" s="71"/>
      <c r="J31" s="71"/>
      <c r="K31" s="72"/>
      <c r="L31" s="72"/>
      <c r="M31" s="73"/>
      <c r="N31" s="74">
        <f xml:space="preserve"> SUM(N22:N30)</f>
        <v/>
      </c>
      <c r="O31" s="75"/>
      <c r="P31" s="76"/>
      <c r="Q31" s="18"/>
    </row>
    <row r="32" spans="1:17" ht="20.100000000000001" customHeight="1" x14ac:dyDescent="0.35">
      <c r="A32" s="77" t="s">
        <v>26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9"/>
      <c r="Q32" s="18"/>
    </row>
    <row r="33" spans="1:17" ht="20.100000000000001" customHeight="1" x14ac:dyDescent="0.35">
      <c r="A33" s="80" t="str">
        <f>mLettres</f>
        <v/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2"/>
      <c r="Q33" s="18"/>
    </row>
    <row r="34" spans="1:17" ht="32.1" customHeight="1" x14ac:dyDescent="0.35">
      <c r="A34" s="24" t="s">
        <v>27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</row>
    <row r="35" spans="1:17" ht="9" customHeight="1" x14ac:dyDescent="0.35">
      <c r="A35" s="83"/>
      <c r="B35" s="84"/>
      <c r="C35" s="85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6"/>
    </row>
    <row r="36" spans="1:17" ht="20.100000000000001" customHeight="1" x14ac:dyDescent="0.35">
      <c r="A36" s="87" t="s">
        <v>28</v>
      </c>
      <c r="B36" s="13"/>
      <c r="C36" s="88" t="str">
        <f xml:space="preserve"> IndEsp</f>
        <v/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89"/>
      <c r="Q36" s="18"/>
    </row>
    <row r="37" spans="1:17" ht="9" customHeight="1" x14ac:dyDescent="0.35">
      <c r="A37" s="90"/>
      <c r="B37" s="91"/>
      <c r="C37" s="92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89"/>
      <c r="Q37" s="18"/>
    </row>
    <row r="38" spans="1:17" ht="20.100000000000001" customHeight="1" x14ac:dyDescent="0.35">
      <c r="A38" s="87" t="s">
        <v>29</v>
      </c>
      <c r="B38" s="13"/>
      <c r="C38" s="93" t="str">
        <f>IndChq</f>
        <v/>
      </c>
      <c r="E38" s="18" t="s">
        <v>30</v>
      </c>
      <c r="F38" s="18"/>
      <c r="G38" s="22" t="str">
        <f>bqChq</f>
        <v/>
      </c>
      <c r="H38" s="22"/>
      <c r="I38" s="22"/>
      <c r="J38" s="18"/>
      <c r="K38" s="18" t="s">
        <v>31</v>
      </c>
      <c r="L38" s="22" t="str">
        <f xml:space="preserve"> numChq</f>
        <v/>
      </c>
      <c r="M38" s="22"/>
      <c r="N38" s="22"/>
      <c r="O38" s="22"/>
      <c r="P38" s="94"/>
      <c r="Q38" s="18"/>
    </row>
    <row r="39" spans="1:17" ht="9" customHeight="1" x14ac:dyDescent="0.35">
      <c r="A39" s="90"/>
      <c r="B39" s="91"/>
      <c r="C39" s="92"/>
      <c r="D39" s="18"/>
      <c r="E39" s="18"/>
      <c r="F39" s="18"/>
      <c r="G39" s="45"/>
      <c r="H39" s="45"/>
      <c r="I39" s="45"/>
      <c r="J39" s="18"/>
      <c r="K39" s="18"/>
      <c r="L39" s="45"/>
      <c r="M39" s="45"/>
      <c r="N39" s="45"/>
      <c r="O39" s="45"/>
      <c r="P39" s="95"/>
      <c r="Q39" s="18"/>
    </row>
    <row r="40" spans="1:17" ht="20.100000000000001" customHeight="1" x14ac:dyDescent="0.35">
      <c r="A40" s="87" t="s">
        <v>32</v>
      </c>
      <c r="B40" s="13"/>
      <c r="C40" s="93" t="str">
        <f>IndVir</f>
        <v/>
      </c>
      <c r="E40" s="18" t="s">
        <v>30</v>
      </c>
      <c r="F40" s="18"/>
      <c r="G40" s="22" t="str">
        <f>bqVir</f>
        <v/>
      </c>
      <c r="H40" s="22"/>
      <c r="I40" s="22"/>
      <c r="J40" s="18"/>
      <c r="K40" s="18" t="s">
        <v>33</v>
      </c>
      <c r="L40" s="22" t="str">
        <f xml:space="preserve"> refVir</f>
        <v/>
      </c>
      <c r="M40" s="22"/>
      <c r="N40" s="22"/>
      <c r="O40" s="22"/>
      <c r="P40" s="94"/>
      <c r="Q40" s="18"/>
    </row>
    <row r="41" spans="1:17" ht="9" customHeight="1" x14ac:dyDescent="0.35">
      <c r="A41" s="96"/>
      <c r="B41" s="97"/>
      <c r="C41" s="98"/>
      <c r="D41" s="47"/>
      <c r="E41" s="18"/>
      <c r="F41" s="18"/>
      <c r="G41" s="45"/>
      <c r="H41" s="45"/>
      <c r="I41" s="45"/>
      <c r="J41" s="18"/>
      <c r="K41" s="47"/>
      <c r="L41" s="45"/>
      <c r="M41" s="45"/>
      <c r="N41" s="45"/>
      <c r="O41" s="45"/>
      <c r="P41" s="95"/>
      <c r="Q41" s="18"/>
    </row>
    <row r="42" spans="1:17" ht="20.100000000000001" customHeight="1" x14ac:dyDescent="0.35">
      <c r="A42" s="99" t="s">
        <v>34</v>
      </c>
      <c r="B42" s="20"/>
      <c r="C42" s="55"/>
      <c r="D42" s="20"/>
      <c r="E42" s="55"/>
      <c r="F42" s="55"/>
      <c r="G42" s="55"/>
      <c r="H42" s="55"/>
      <c r="I42" s="100" t="s">
        <v>35</v>
      </c>
      <c r="J42" s="101"/>
      <c r="L42" s="101"/>
      <c r="M42" s="101"/>
      <c r="N42" s="101"/>
      <c r="O42" s="101"/>
      <c r="P42" s="102"/>
    </row>
    <row r="43" spans="1:17" ht="20.100000000000001" customHeight="1" x14ac:dyDescent="0.35">
      <c r="A43" s="103" t="s">
        <v>36</v>
      </c>
      <c r="B43" s="22" t="str">
        <f>Ville</f>
        <v/>
      </c>
      <c r="C43" s="22"/>
      <c r="D43" s="22"/>
      <c r="E43" s="34" t="s">
        <v>37</v>
      </c>
      <c r="F43" s="104" t="str">
        <f>dSign</f>
        <v/>
      </c>
      <c r="G43" s="104"/>
      <c r="H43" s="13"/>
      <c r="I43" s="103"/>
      <c r="J43" s="34"/>
      <c r="K43" s="34" t="s">
        <v>38</v>
      </c>
      <c r="L43" s="34"/>
      <c r="P43" s="105"/>
    </row>
    <row r="44" spans="1:17" ht="20.100000000000001" customHeight="1" x14ac:dyDescent="0.35">
      <c r="A44" s="103" t="s">
        <v>39</v>
      </c>
      <c r="B44" s="34"/>
      <c r="C44" s="34"/>
      <c r="D44" s="34"/>
      <c r="E44" s="34"/>
      <c r="F44" s="34"/>
      <c r="G44" s="106"/>
      <c r="H44" s="34"/>
      <c r="I44" s="103"/>
      <c r="J44" s="34" t="s">
        <v>40</v>
      </c>
      <c r="K44" s="107" t="s">
        <v>41</v>
      </c>
      <c r="L44" s="107"/>
      <c r="N44" s="108"/>
      <c r="O44" s="109"/>
      <c r="P44" s="110"/>
    </row>
    <row r="45" spans="1:17" ht="20.100000000000001" customHeight="1" x14ac:dyDescent="0.35">
      <c r="A45" s="111"/>
      <c r="B45" s="34"/>
      <c r="C45" s="34"/>
      <c r="D45" s="34"/>
      <c r="E45" s="34"/>
      <c r="F45" s="34"/>
      <c r="G45" s="106"/>
      <c r="H45" s="34"/>
      <c r="I45" s="103" t="s">
        <v>42</v>
      </c>
      <c r="J45" s="34"/>
      <c r="K45" s="34"/>
      <c r="L45" s="34"/>
      <c r="N45" s="106"/>
      <c r="P45" s="105"/>
    </row>
    <row r="46" spans="1:17" ht="20.100000000000001" customHeight="1" x14ac:dyDescent="0.35">
      <c r="A46" s="103"/>
      <c r="B46" s="34"/>
      <c r="C46" s="34"/>
      <c r="D46" s="34"/>
      <c r="E46" s="34"/>
      <c r="F46" s="34"/>
      <c r="G46" s="106"/>
      <c r="H46" s="34"/>
      <c r="I46" s="103"/>
      <c r="J46" s="34" t="s">
        <v>43</v>
      </c>
      <c r="K46" s="34"/>
      <c r="L46" s="34"/>
      <c r="P46" s="105"/>
    </row>
    <row r="47" spans="1:17" ht="20.100000000000001" customHeight="1" x14ac:dyDescent="0.35">
      <c r="A47" s="103"/>
      <c r="B47" s="34"/>
      <c r="C47" s="34"/>
      <c r="D47" s="34"/>
      <c r="E47" s="34"/>
      <c r="F47" s="34"/>
      <c r="G47" s="106"/>
      <c r="H47" s="34"/>
      <c r="I47" s="103"/>
      <c r="J47" s="34" t="s">
        <v>44</v>
      </c>
      <c r="K47" s="34"/>
      <c r="L47" s="34"/>
      <c r="P47" s="105"/>
    </row>
    <row r="48" spans="1:17" ht="20.100000000000001" customHeight="1" x14ac:dyDescent="0.35">
      <c r="A48" s="112" t="str">
        <f>nSign</f>
        <v/>
      </c>
      <c r="B48" s="113"/>
      <c r="C48" s="113"/>
      <c r="D48" s="113"/>
      <c r="E48" s="113"/>
      <c r="F48" s="113"/>
      <c r="G48" s="113"/>
      <c r="H48" s="114"/>
      <c r="I48" s="115" t="s">
        <v>45</v>
      </c>
      <c r="J48" s="116"/>
      <c r="K48" s="116"/>
      <c r="L48" s="116"/>
      <c r="M48" s="50"/>
      <c r="N48" s="50"/>
      <c r="O48" s="50"/>
      <c r="P48" s="117"/>
    </row>
  </sheetData>
  <mergeCells count="68">
    <mergeCell ref="A42:H42"/>
    <mergeCell ref="B43:D43"/>
    <mergeCell ref="F43:H43"/>
    <mergeCell ref="N44:P44"/>
    <mergeCell ref="A48:H48"/>
    <mergeCell ref="A38:B38"/>
    <mergeCell ref="G38:I38"/>
    <mergeCell ref="L38:P38"/>
    <mergeCell ref="A40:B40"/>
    <mergeCell ref="G40:I40"/>
    <mergeCell ref="L40:P40"/>
    <mergeCell ref="A31:M31"/>
    <mergeCell ref="N31:P31"/>
    <mergeCell ref="A32:P32"/>
    <mergeCell ref="A33:P33"/>
    <mergeCell ref="A34:P34"/>
    <mergeCell ref="A36:B36"/>
    <mergeCell ref="A29:J29"/>
    <mergeCell ref="K29:M29"/>
    <mergeCell ref="N29:P29"/>
    <mergeCell ref="A30:J30"/>
    <mergeCell ref="K30:M30"/>
    <mergeCell ref="N30:P30"/>
    <mergeCell ref="A26:P26"/>
    <mergeCell ref="A27:J27"/>
    <mergeCell ref="K27:M27"/>
    <mergeCell ref="N27:P27"/>
    <mergeCell ref="A28:J28"/>
    <mergeCell ref="K28:M28"/>
    <mergeCell ref="N28:P28"/>
    <mergeCell ref="A24:J24"/>
    <mergeCell ref="K24:M24"/>
    <mergeCell ref="N24:P24"/>
    <mergeCell ref="A25:J25"/>
    <mergeCell ref="K25:M25"/>
    <mergeCell ref="N25:P25"/>
    <mergeCell ref="A21:P21"/>
    <mergeCell ref="A22:J22"/>
    <mergeCell ref="K22:M22"/>
    <mergeCell ref="N22:P22"/>
    <mergeCell ref="A23:J23"/>
    <mergeCell ref="K23:M23"/>
    <mergeCell ref="N23:P23"/>
    <mergeCell ref="D16:F16"/>
    <mergeCell ref="H16:K16"/>
    <mergeCell ref="A19:P19"/>
    <mergeCell ref="A20:J20"/>
    <mergeCell ref="K20:M20"/>
    <mergeCell ref="N20:P20"/>
    <mergeCell ref="A10:P10"/>
    <mergeCell ref="E12:L12"/>
    <mergeCell ref="M12:P15"/>
    <mergeCell ref="E13:L13"/>
    <mergeCell ref="E14:L14"/>
    <mergeCell ref="E15:K15"/>
    <mergeCell ref="A5:F5"/>
    <mergeCell ref="H5:O5"/>
    <mergeCell ref="A6:F6"/>
    <mergeCell ref="A7:F7"/>
    <mergeCell ref="J7:K7"/>
    <mergeCell ref="G8:I8"/>
    <mergeCell ref="N8:P8"/>
    <mergeCell ref="A1:F1"/>
    <mergeCell ref="A2:F2"/>
    <mergeCell ref="A3:F3"/>
    <mergeCell ref="H3:O3"/>
    <mergeCell ref="A4:F4"/>
    <mergeCell ref="H4:O4"/>
  </mergeCells>
  <pageMargins left="0.39370078740157483" right="0.39370078740157483" top="0.39370078740157483" bottom="0.39370078740157483" header="0" footer="0"/>
  <pageSetup paperSize="9" scale="88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RetFo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SURFACE</cp:lastModifiedBy>
  <dcterms:created xsi:type="dcterms:W3CDTF">2026-10-27T06:03:04Z</dcterms:created>
  <dcterms:modified xsi:type="dcterms:W3CDTF">2026-10-27T17:41:26Z</dcterms:modified>
</cp:coreProperties>
</file>